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9.xml" ContentType="application/vnd.openxmlformats-officedocument.spreadsheetml.worksheet+xml"/>
  <Override PartName="/xl/worksheets/sheet14.xml" ContentType="application/vnd.openxmlformats-officedocument.spreadsheetml.worksheet+xml"/>
  <Override PartName="/xl/worksheets/sheet5.xml" ContentType="application/vnd.openxmlformats-officedocument.spreadsheetml.worksheet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2.xml" ContentType="application/vnd.openxmlformats-officedocument.spreadsheetml.worksheet+xml"/>
  <Override PartName="/xl/worksheets/sheet11.xml" ContentType="application/vnd.openxmlformats-officedocument.spreadsheetml.worksheet+xml"/>
  <Override PartName="/xl/worksheets/sheet3.xml" ContentType="application/vnd.openxmlformats-officedocument.spreadsheetml.worksheet+xml"/>
  <Override PartName="/xl/worksheets/sheet12.xml" ContentType="application/vnd.openxmlformats-officedocument.spreadsheetml.worksheet+xml"/>
  <Override PartName="/xl/worksheets/sheet4.xml" ContentType="application/vnd.openxmlformats-officedocument.spreadsheetml.worksheet+xml"/>
  <Override PartName="/xl/worksheets/sheet13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3"/>
  </bookViews>
  <sheets>
    <sheet name="Overall_Yield" sheetId="1" state="visible" r:id="rId2"/>
    <sheet name="Overall_TW" sheetId="2" state="visible" r:id="rId3"/>
    <sheet name="Overall_HD" sheetId="3" state="visible" r:id="rId4"/>
    <sheet name="Overall_Ht" sheetId="4" state="visible" r:id="rId5"/>
    <sheet name="BelleMina" sheetId="5" state="visible" r:id="rId6"/>
    <sheet name="Brooksville" sheetId="6" state="visible" r:id="rId7"/>
    <sheet name="Clayton" sheetId="7" state="visible" r:id="rId8"/>
    <sheet name="CollegeStation" sheetId="8" state="visible" r:id="rId9"/>
    <sheet name="McGregor" sheetId="9" state="visible" r:id="rId10"/>
    <sheet name="Plains" sheetId="10" state="visible" r:id="rId11"/>
    <sheet name="Raleigh" sheetId="11" state="visible" r:id="rId12"/>
    <sheet name="Salisbury" sheetId="12" state="visible" r:id="rId13"/>
    <sheet name="Quincy" sheetId="13" state="visible" r:id="rId14"/>
    <sheet name="Winnsboro_BatonRouge" sheetId="14" state="visible" r:id="rId1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<sst xmlns="http://schemas.openxmlformats.org/spreadsheetml/2006/main" count="953" uniqueCount="210">
  <si>
    <t xml:space="preserve">Entry</t>
  </si>
  <si>
    <t xml:space="preserve">Name</t>
  </si>
  <si>
    <t xml:space="preserve">Pedigree</t>
  </si>
  <si>
    <t xml:space="preserve">Yield Rank</t>
  </si>
  <si>
    <t xml:space="preserve">Overall Yield (bu/acre)</t>
  </si>
  <si>
    <t xml:space="preserve">BelleMina</t>
  </si>
  <si>
    <t xml:space="preserve">Brooksville</t>
  </si>
  <si>
    <t xml:space="preserve">Clayton</t>
  </si>
  <si>
    <t xml:space="preserve">Plains</t>
  </si>
  <si>
    <t xml:space="preserve">Raleigh</t>
  </si>
  <si>
    <t xml:space="preserve">Salisbury</t>
  </si>
  <si>
    <t xml:space="preserve">Winnsboro</t>
  </si>
  <si>
    <t xml:space="preserve">Quincy</t>
  </si>
  <si>
    <t xml:space="preserve">Gerard 224</t>
  </si>
  <si>
    <t xml:space="preserve">Rodgers/Txab29923//Rodgers (=NC03-2421v)</t>
  </si>
  <si>
    <t xml:space="preserve">FLLA09015SBS-U1</t>
  </si>
  <si>
    <t xml:space="preserve">FL0210-J1/MN06023</t>
  </si>
  <si>
    <t xml:space="preserve">LA99016</t>
  </si>
  <si>
    <t xml:space="preserve">TX96M1385/SECTLA495</t>
  </si>
  <si>
    <t xml:space="preserve">TAMO 412</t>
  </si>
  <si>
    <t xml:space="preserve">FL9708-P71=(Coker 92Ab719/Horizon 314)//TAMO 405</t>
  </si>
  <si>
    <t xml:space="preserve">LA11074SBSBSBSB109-2</t>
  </si>
  <si>
    <t xml:space="preserve">LA10072, F1 (UPF98H2000-4 / IL 00-1030)/ LA06071SBSB-S10</t>
  </si>
  <si>
    <t xml:space="preserve">LA14018SBSBS32-1</t>
  </si>
  <si>
    <t xml:space="preserve">FL0772-R2 / LA13051, F1(LA07048SBSB-28 / LA99016)</t>
  </si>
  <si>
    <t xml:space="preserve">LA14032SBS-163-2</t>
  </si>
  <si>
    <t xml:space="preserve">LA05006 / FL1013-U13-225</t>
  </si>
  <si>
    <t xml:space="preserve">LA14063SBS-36-1</t>
  </si>
  <si>
    <t xml:space="preserve">LA07046SBSBSBS-2-S1 / LA99016</t>
  </si>
  <si>
    <t xml:space="preserve">LA14100SBS-49-1-1</t>
  </si>
  <si>
    <t xml:space="preserve">LA8016SBS-14 / LA99017</t>
  </si>
  <si>
    <t xml:space="preserve">LA14100SBSBS38-1</t>
  </si>
  <si>
    <t xml:space="preserve">LA08016SBS-14 / LA99017</t>
  </si>
  <si>
    <t xml:space="preserve">LA14105SBSBS56-1</t>
  </si>
  <si>
    <t xml:space="preserve">LA99017 / LA13086, F1(NC03-2421V / SD 081949)</t>
  </si>
  <si>
    <t xml:space="preserve">NC18-5925</t>
  </si>
  <si>
    <t xml:space="preserve">NC11-1655 / Gerard 224</t>
  </si>
  <si>
    <t xml:space="preserve">NC17-6440</t>
  </si>
  <si>
    <t xml:space="preserve">GERARD 229 / TX07CS3697</t>
  </si>
  <si>
    <t xml:space="preserve">NC17-6550</t>
  </si>
  <si>
    <t xml:space="preserve">NC07-3801 / RODGERS</t>
  </si>
  <si>
    <t xml:space="preserve">NC17-6563</t>
  </si>
  <si>
    <t xml:space="preserve">NC10-5069 / RODGERS</t>
  </si>
  <si>
    <t xml:space="preserve">TX15OCS6142</t>
  </si>
  <si>
    <t xml:space="preserve">FLO522//TX02U7682</t>
  </si>
  <si>
    <t xml:space="preserve">TX15OCS6163</t>
  </si>
  <si>
    <t xml:space="preserve">FLO522//TX07CS3701</t>
  </si>
  <si>
    <t xml:space="preserve">TX16OCS7015</t>
  </si>
  <si>
    <t xml:space="preserve">FLO522/TX07CS2783//TAMO405/LA9339(PS)</t>
  </si>
  <si>
    <t xml:space="preserve">TX16OCS7048</t>
  </si>
  <si>
    <t xml:space="preserve">LA9339(PS)/TX07CS2783//TX02U7047/TX07CS425</t>
  </si>
  <si>
    <t xml:space="preserve">TX16OCS7093</t>
  </si>
  <si>
    <t xml:space="preserve">UFRGS95252/LA966BIB32-1-1-B(Horz270 sib)//TAMO405/LA9339(PS)</t>
  </si>
  <si>
    <t xml:space="preserve">TX16OCS7100</t>
  </si>
  <si>
    <t xml:space="preserve">LA9339(PS)/TX07CS2783//TAMO406/TAMO405</t>
  </si>
  <si>
    <t xml:space="preserve">FL11017-7</t>
  </si>
  <si>
    <t xml:space="preserve">FL0555-Ab3/FL1045 F1 (IL 02-8011/FL03117-L5(UFRGS B017108-2-5/Bw1000))</t>
  </si>
  <si>
    <t xml:space="preserve">FL12034-10</t>
  </si>
  <si>
    <t xml:space="preserve">LA06055SBSBSB-79 (TAMO 405/LA02054-S-B-167-S2)/FL11048 F1 (FL03038-L1/MN 08262)</t>
  </si>
  <si>
    <t xml:space="preserve">FLLA11019S-8</t>
  </si>
  <si>
    <t xml:space="preserve">FL0564-Ab13 / LA06071SBSB-S1</t>
  </si>
  <si>
    <t xml:space="preserve">FLLA09044SBS-U1</t>
  </si>
  <si>
    <t xml:space="preserve">UFRGS 028153-2/LA99016</t>
  </si>
  <si>
    <t xml:space="preserve">Mean</t>
  </si>
  <si>
    <t xml:space="preserve">CV (%)</t>
  </si>
  <si>
    <t xml:space="preserve">NA</t>
  </si>
  <si>
    <t xml:space="preserve">LSD (.05)</t>
  </si>
  <si>
    <t xml:space="preserve">TW Rank</t>
  </si>
  <si>
    <t xml:space="preserve">Overall TW (lb/bu)</t>
  </si>
  <si>
    <t xml:space="preserve">HD Rank</t>
  </si>
  <si>
    <t xml:space="preserve">Overall HD (jDOY)</t>
  </si>
  <si>
    <t xml:space="preserve">CollegeStation</t>
  </si>
  <si>
    <t xml:space="preserve">LA_Mean</t>
  </si>
  <si>
    <t xml:space="preserve">Ht Rank</t>
  </si>
  <si>
    <t xml:space="preserve">Overall Ht (In)</t>
  </si>
  <si>
    <t xml:space="preserve">Yield</t>
  </si>
  <si>
    <t xml:space="preserve">Rank</t>
  </si>
  <si>
    <t xml:space="preserve">TW</t>
  </si>
  <si>
    <t xml:space="preserve">AB</t>
  </si>
  <si>
    <t xml:space="preserve">BCDE</t>
  </si>
  <si>
    <t xml:space="preserve">BCDEF</t>
  </si>
  <si>
    <t xml:space="preserve">ABCD</t>
  </si>
  <si>
    <t xml:space="preserve">DEFGH</t>
  </si>
  <si>
    <t xml:space="preserve">CDEFG</t>
  </si>
  <si>
    <t xml:space="preserve">A</t>
  </si>
  <si>
    <t xml:space="preserve">CDEFGH</t>
  </si>
  <si>
    <t xml:space="preserve">H</t>
  </si>
  <si>
    <t xml:space="preserve">ABC</t>
  </si>
  <si>
    <t xml:space="preserve">FGH</t>
  </si>
  <si>
    <t xml:space="preserve">GH</t>
  </si>
  <si>
    <t xml:space="preserve">ABCDE</t>
  </si>
  <si>
    <t xml:space="preserve">EFGH</t>
  </si>
  <si>
    <t xml:space="preserve">LSD (0.05)</t>
  </si>
  <si>
    <t xml:space="preserve">Maximum</t>
  </si>
  <si>
    <t xml:space="preserve">Minimum</t>
  </si>
  <si>
    <t xml:space="preserve">R-Square</t>
  </si>
  <si>
    <t xml:space="preserve">USDA-ARS Uniform Winter Oat Trial 2020-21</t>
  </si>
  <si>
    <t xml:space="preserve">Location:</t>
  </si>
  <si>
    <t xml:space="preserve">Brooksville, MS</t>
  </si>
  <si>
    <t xml:space="preserve">Plot size (sq ft):</t>
  </si>
  <si>
    <t xml:space="preserve">Planting date:</t>
  </si>
  <si>
    <t xml:space="preserve">Cooperator:</t>
  </si>
  <si>
    <t xml:space="preserve">Mississippi State, Brad Burgess</t>
  </si>
  <si>
    <t xml:space="preserve">Number of Reps:</t>
  </si>
  <si>
    <t xml:space="preserve">Harvest date:</t>
  </si>
  <si>
    <t xml:space="preserve">Comments:</t>
  </si>
  <si>
    <t xml:space="preserve">Fertilizer, Weather, etc</t>
  </si>
  <si>
    <t xml:space="preserve">Preplant- 0-20-20 @ 250 lbs/A</t>
  </si>
  <si>
    <t xml:space="preserve">Topdress- N @ 33 lbs/A on Feb. 10, N @ 56 lbs/A on Mar. 19, N @ 50 lbs/A on Apr. 5</t>
  </si>
  <si>
    <t xml:space="preserve">Very wet June, 6.68" or rain just as crop was nearing harvest.  Harvest was delayed 2+ weeks.</t>
  </si>
  <si>
    <t xml:space="preserve">Heading</t>
  </si>
  <si>
    <t xml:space="preserve">Height</t>
  </si>
  <si>
    <t xml:space="preserve">Lodging</t>
  </si>
  <si>
    <t xml:space="preserve">BYDV</t>
  </si>
  <si>
    <t xml:space="preserve">Crown rust</t>
  </si>
  <si>
    <t xml:space="preserve">Stem rust</t>
  </si>
  <si>
    <t xml:space="preserve">Winter survival</t>
  </si>
  <si>
    <t xml:space="preserve">Winter stress</t>
  </si>
  <si>
    <t xml:space="preserve">Other</t>
  </si>
  <si>
    <t xml:space="preserve">bu/A</t>
  </si>
  <si>
    <t xml:space="preserve">lb/bu</t>
  </si>
  <si>
    <t xml:space="preserve">Julian</t>
  </si>
  <si>
    <t xml:space="preserve">in.</t>
  </si>
  <si>
    <t xml:space="preserve">0-9</t>
  </si>
  <si>
    <t xml:space="preserve">%</t>
  </si>
  <si>
    <t xml:space="preserve">LA14105SBSBS56-1 </t>
  </si>
  <si>
    <t xml:space="preserve">CV</t>
  </si>
  <si>
    <t xml:space="preserve">LSD(0.05)</t>
  </si>
  <si>
    <t xml:space="preserve">R2</t>
  </si>
  <si>
    <t xml:space="preserve">Error DF</t>
  </si>
  <si>
    <t xml:space="preserve">Clayton, NC</t>
  </si>
  <si>
    <r>
      <rPr>
        <sz val="12"/>
        <rFont val="Arial"/>
        <family val="2"/>
        <charset val="1"/>
      </rPr>
      <t xml:space="preserve">Plot size(ft</t>
    </r>
    <r>
      <rPr>
        <vertAlign val="superscript"/>
        <sz val="12"/>
        <rFont val="Arial"/>
        <family val="2"/>
        <charset val="1"/>
      </rPr>
      <t xml:space="preserve">2</t>
    </r>
    <r>
      <rPr>
        <sz val="12"/>
        <rFont val="Arial"/>
        <family val="2"/>
        <charset val="1"/>
      </rPr>
      <t xml:space="preserve">):</t>
    </r>
  </si>
  <si>
    <t xml:space="preserve">55 sqft</t>
  </si>
  <si>
    <t xml:space="preserve">Nov 1 2020</t>
  </si>
  <si>
    <t xml:space="preserve">Murphy</t>
  </si>
  <si>
    <t xml:space="preserve">No. Reps:</t>
  </si>
  <si>
    <t xml:space="preserve">June 8 2021</t>
  </si>
  <si>
    <t xml:space="preserve">Fertilizer, growing conditions, etc</t>
  </si>
  <si>
    <t xml:space="preserve">130 lbs N.</t>
  </si>
  <si>
    <t xml:space="preserve">plot</t>
  </si>
  <si>
    <t xml:space="preserve">entry</t>
  </si>
  <si>
    <t xml:space="preserve">name</t>
  </si>
  <si>
    <t xml:space="preserve">pedigree</t>
  </si>
  <si>
    <t xml:space="preserve">Early Vigor</t>
  </si>
  <si>
    <t xml:space="preserve">FD</t>
  </si>
  <si>
    <t xml:space="preserve">FDR</t>
  </si>
  <si>
    <t xml:space="preserve">HD</t>
  </si>
  <si>
    <t xml:space="preserve">CR</t>
  </si>
  <si>
    <t xml:space="preserve">CV%</t>
  </si>
  <si>
    <t xml:space="preserve">FD 3 rep</t>
  </si>
  <si>
    <t xml:space="preserve">FD Recovery 3 rep</t>
  </si>
  <si>
    <t xml:space="preserve">Line</t>
  </si>
  <si>
    <t xml:space="preserve">Ped</t>
  </si>
  <si>
    <t xml:space="preserve">Test</t>
  </si>
  <si>
    <t xml:space="preserve">BUPA avg.</t>
  </si>
  <si>
    <t xml:space="preserve">Test wt. avg.</t>
  </si>
  <si>
    <t xml:space="preserve">HT</t>
  </si>
  <si>
    <t xml:space="preserve">LOD</t>
  </si>
  <si>
    <t xml:space="preserve">UWO_PL21</t>
  </si>
  <si>
    <t xml:space="preserve">expt</t>
  </si>
  <si>
    <t xml:space="preserve">yld</t>
  </si>
  <si>
    <t xml:space="preserve">rank</t>
  </si>
  <si>
    <t xml:space="preserve">twt</t>
  </si>
  <si>
    <t xml:space="preserve">hdj</t>
  </si>
  <si>
    <t xml:space="preserve">ht</t>
  </si>
  <si>
    <t xml:space="preserve">lodh</t>
  </si>
  <si>
    <t xml:space="preserve">bydv</t>
  </si>
  <si>
    <t xml:space="preserve">UWOT 21</t>
  </si>
  <si>
    <t xml:space="preserve">GRAND MEAN</t>
  </si>
  <si>
    <t xml:space="preserve">LSD</t>
  </si>
  <si>
    <t xml:space="preserve">Max. Mean</t>
  </si>
  <si>
    <t xml:space="preserve">Min. Mean</t>
  </si>
  <si>
    <t xml:space="preserve">No. of Reps</t>
  </si>
  <si>
    <t xml:space="preserve">wst1</t>
  </si>
  <si>
    <t xml:space="preserve">gh</t>
  </si>
  <si>
    <t xml:space="preserve">Name </t>
  </si>
  <si>
    <t xml:space="preserve">Yield (bu/ac)</t>
  </si>
  <si>
    <t xml:space="preserve">Heading   days</t>
  </si>
  <si>
    <t xml:space="preserve">Plant height (in)</t>
  </si>
  <si>
    <t xml:space="preserve">Growth habit (0-9)</t>
  </si>
  <si>
    <t xml:space="preserve">Leafiness (02/28)                             (0-9)</t>
  </si>
  <si>
    <t xml:space="preserve">Leafiness (03/18)                    (0-9)</t>
  </si>
  <si>
    <t xml:space="preserve">Crown rust              (0-9)</t>
  </si>
  <si>
    <t xml:space="preserve">stem rust            (0-9)</t>
  </si>
  <si>
    <t xml:space="preserve">Stagonospora leaf blotch                           (0-9)</t>
  </si>
  <si>
    <t xml:space="preserve">LSD (5%)</t>
  </si>
  <si>
    <t xml:space="preserve">Heading days</t>
  </si>
  <si>
    <t xml:space="preserve">higher value is more winter type; lower value is more spring type; 5 &amp; 6 is intermediate/facultative</t>
  </si>
  <si>
    <t xml:space="preserve">Leafiness (0-9)</t>
  </si>
  <si>
    <t xml:space="preserve">higher value is more leafy or forage yield potential; lower value is less leafy or forage yield potential</t>
  </si>
  <si>
    <t xml:space="preserve">Diseases (0-9)</t>
  </si>
  <si>
    <t xml:space="preserve">higher value is more disease; lower value is less disease</t>
  </si>
  <si>
    <t xml:space="preserve">USDA-ARS Uniform Winter Oat Trial 2020-21 - Louisiana</t>
  </si>
  <si>
    <t xml:space="preserve">Growth Habit</t>
  </si>
  <si>
    <t xml:space="preserve">Crown* rust</t>
  </si>
  <si>
    <t xml:space="preserve">Leafy / Forage</t>
  </si>
  <si>
    <t xml:space="preserve">Phenotype **</t>
  </si>
  <si>
    <t xml:space="preserve">LSD (0.10)</t>
  </si>
  <si>
    <t xml:space="preserve">Yield data from Winnsboro, LA.  Crown rust data from Baton Rouge (no harvest due to torrential rainfall).  Other data from both locations.</t>
  </si>
  <si>
    <t xml:space="preserve">Steve Harrison, Trey Price, Kelly Arceneaux, Allysson Lunos-Harding, Katie Mccarthy, Reddy Biradar.</t>
  </si>
  <si>
    <t xml:space="preserve">Reps</t>
  </si>
  <si>
    <t xml:space="preserve">Plot Size</t>
  </si>
  <si>
    <t xml:space="preserve">75 ft-sq</t>
  </si>
  <si>
    <t xml:space="preserve">Plant / Harvest date:  11/21/21 &amp; 5/30/21</t>
  </si>
  <si>
    <t xml:space="preserve">30-0-0 # + 30-0-0 # split UAN topdress.</t>
  </si>
  <si>
    <t xml:space="preserve">Amber for weed control.</t>
  </si>
  <si>
    <t xml:space="preserve">Very wet spring.  Baton Rouge yield plots severely lodged and not harvested due to 30+ incheas of rain from April 1 to May 15.</t>
  </si>
  <si>
    <t xml:space="preserve">Random lodging (non genotype effect) in Winnsboro due to a strong down draft through middle of field during late April storm resulted in high CV for yield and lodging.  </t>
  </si>
  <si>
    <t xml:space="preserve">Crown Rust - Baton Rouge Only.</t>
  </si>
  <si>
    <t xml:space="preserve">Leafy: 7 = superior forage potential; Phenotype: 7 = very pretty entry.  Growth Habit: lower number = more upright, spring type winter growth.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</si>
</sst>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"/>
    <numFmt numFmtId="166" formatCode="\$#,##0\ ;&quot;($&quot;#,##0\)"/>
    <numFmt numFmtId="167" formatCode="0.00"/>
    <numFmt numFmtId="168" formatCode="0.0"/>
    <numFmt numFmtId="169" formatCode="0"/>
    <numFmt numFmtId="170" formatCode="m/d/yyyy"/>
    <numFmt numFmtId="171" formatCode="[$-409]d\-mmm\-yyyy;@"/>
  </numFmts>
  <fonts count="21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Verdana"/>
      <family val="2"/>
      <charset val="1"/>
    </font>
    <font>
      <sz val="10"/>
      <name val="Arial"/>
      <family val="2"/>
      <charset val="1"/>
    </font>
    <font>
      <b val="true"/>
      <sz val="18"/>
      <name val="Arial"/>
      <family val="2"/>
      <charset val="1"/>
    </font>
    <font>
      <b val="true"/>
      <sz val="12"/>
      <name val="Arial"/>
      <family val="2"/>
      <charset val="1"/>
    </font>
    <font>
      <sz val="9"/>
      <color rgb="FF000000"/>
      <name val="Calibri"/>
      <family val="2"/>
      <charset val="1"/>
    </font>
    <font>
      <sz val="10"/>
      <name val="MS Sans Serif"/>
      <family val="2"/>
      <charset val="1"/>
    </font>
    <font>
      <sz val="10"/>
      <color rgb="FF000000"/>
      <name val="Arial"/>
      <family val="2"/>
      <charset val="1"/>
    </font>
    <font>
      <sz val="12"/>
      <name val="Arial"/>
      <family val="2"/>
      <charset val="1"/>
    </font>
    <font>
      <sz val="12"/>
      <color rgb="FF000000"/>
      <name val="Arial"/>
      <family val="2"/>
      <charset val="1"/>
    </font>
    <font>
      <vertAlign val="superscript"/>
      <sz val="12"/>
      <name val="Arial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0"/>
      <name val="Calibri"/>
      <family val="2"/>
      <charset val="1"/>
    </font>
    <font>
      <b val="true"/>
      <sz val="10"/>
      <color rgb="FF000000"/>
      <name val="Calibri"/>
      <family val="2"/>
      <charset val="1"/>
    </font>
    <font>
      <sz val="10"/>
      <name val="Calibri"/>
      <family val="2"/>
      <charset val="1"/>
    </font>
    <font>
      <sz val="10"/>
      <color rgb="FF000000"/>
      <name val="Calibri"/>
      <family val="2"/>
      <charset val="1"/>
    </font>
    <font>
      <b val="true"/>
      <sz val="10"/>
      <name val="Arial"/>
      <family val="2"/>
      <charset val="1"/>
    </font>
    <font>
      <sz val="8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A6A6A6"/>
        <bgColor rgb="FFAFABAB"/>
      </patternFill>
    </fill>
    <fill>
      <patternFill patternType="solid">
        <fgColor rgb="FFAFABAB"/>
        <bgColor rgb="FFA6A6A6"/>
      </patternFill>
    </fill>
    <fill>
      <patternFill patternType="solid">
        <fgColor rgb="FFDAE3F3"/>
        <bgColor rgb="FFCCFFFF"/>
      </patternFill>
    </fill>
  </fills>
  <borders count="49">
    <border diagonalUp="false" diagonalDown="false">
      <left/>
      <right/>
      <top/>
      <bottom/>
      <diagonal/>
    </border>
    <border diagonalUp="false" diagonalDown="false">
      <left/>
      <right/>
      <top style="double"/>
      <bottom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thin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double"/>
      <diagonal/>
    </border>
    <border diagonalUp="false" diagonalDown="false">
      <left/>
      <right style="thick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ck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 style="thin"/>
      <bottom style="double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thin"/>
      <right style="hair"/>
      <top style="thin"/>
      <bottom style="hair"/>
      <diagonal/>
    </border>
    <border diagonalUp="false" diagonalDown="false">
      <left style="hair"/>
      <right style="hair"/>
      <top style="thin"/>
      <bottom style="hair"/>
      <diagonal/>
    </border>
    <border diagonalUp="false" diagonalDown="false">
      <left style="hair"/>
      <right/>
      <top style="thin"/>
      <bottom style="hair"/>
      <diagonal/>
    </border>
    <border diagonalUp="false" diagonalDown="false">
      <left style="hair"/>
      <right style="thin"/>
      <top style="thin"/>
      <bottom style="hair"/>
      <diagonal/>
    </border>
    <border diagonalUp="false" diagonalDown="false">
      <left style="thin"/>
      <right style="hair"/>
      <top style="hair"/>
      <bottom style="hair"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 style="hair"/>
      <bottom style="hair"/>
      <diagonal/>
    </border>
    <border diagonalUp="false" diagonalDown="false">
      <left style="hair"/>
      <right style="thin"/>
      <top style="hair"/>
      <bottom style="hair"/>
      <diagonal/>
    </border>
    <border diagonalUp="false" diagonalDown="false">
      <left style="thin"/>
      <right style="hair"/>
      <top style="hair"/>
      <bottom style="thin"/>
      <diagonal/>
    </border>
    <border diagonalUp="false" diagonalDown="false">
      <left style="hair"/>
      <right style="hair"/>
      <top style="hair"/>
      <bottom style="thin"/>
      <diagonal/>
    </border>
    <border diagonalUp="false" diagonalDown="false">
      <left style="hair"/>
      <right/>
      <top style="hair"/>
      <bottom style="thin"/>
      <diagonal/>
    </border>
    <border diagonalUp="false" diagonalDown="false">
      <left style="hair"/>
      <right style="thin"/>
      <top style="hair"/>
      <bottom style="thin"/>
      <diagonal/>
    </border>
    <border diagonalUp="false" diagonalDown="false">
      <left style="thin"/>
      <right style="hair"/>
      <top/>
      <bottom style="hair"/>
      <diagonal/>
    </border>
    <border diagonalUp="false" diagonalDown="false">
      <left style="hair"/>
      <right style="hair"/>
      <top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 style="hair"/>
      <right style="thin"/>
      <top/>
      <bottom style="hair"/>
      <diagonal/>
    </border>
  </borders>
  <cellStyleXfs count="6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7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6" fillId="0" borderId="0" applyFont="true" applyBorder="false" applyAlignment="true" applyProtection="false">
      <alignment horizontal="general" vertical="bottom" textRotation="0" wrapText="false" indent="0" shrinkToFit="false"/>
    </xf>
    <xf numFmtId="164" fontId="7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1" applyFont="true" applyBorder="true" applyAlignment="true" applyProtection="false">
      <alignment horizontal="general" vertical="bottom" textRotation="0" wrapText="false" indent="0" shrinkToFit="false"/>
    </xf>
    <xf numFmtId="164" fontId="0" fillId="0" borderId="1" applyFont="true" applyBorder="true" applyAlignment="true" applyProtection="false">
      <alignment horizontal="general" vertical="bottom" textRotation="0" wrapText="false" indent="0" shrinkToFit="false"/>
    </xf>
  </cellStyleXfs>
  <cellXfs count="18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45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4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4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3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9" fontId="5" fillId="0" borderId="0" xfId="4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0" xfId="47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4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0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3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45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5" fillId="0" borderId="0" xfId="33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45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45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3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2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0" borderId="0" xfId="34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11" fillId="2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2" fillId="2" borderId="0" xfId="4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0" xfId="34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34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45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4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5" fillId="0" borderId="0" xfId="36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36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71" fontId="11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45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36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36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0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4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0" borderId="15" xfId="49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6" xfId="49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6" xfId="49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2" xfId="49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12" xfId="49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17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8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47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47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9" xfId="34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0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9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9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21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47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7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8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7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18" xfId="47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22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5" fillId="0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6" fillId="0" borderId="23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5" fillId="0" borderId="24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17" fillId="0" borderId="2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7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1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8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3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0" fillId="0" borderId="2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1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28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33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34" xfId="45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5" borderId="34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5" borderId="34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35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5" borderId="36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37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5" borderId="38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9" fillId="5" borderId="38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9" fillId="5" borderId="39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8" fontId="19" fillId="5" borderId="40" xfId="45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9" fillId="5" borderId="41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4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4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43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9" fillId="5" borderId="44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5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46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46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46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7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8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7" xfId="36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3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38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0" fillId="0" borderId="38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38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39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5" fillId="0" borderId="40" xfId="45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38" xfId="36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7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38" xfId="4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38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5" borderId="39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5" borderId="40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5" borderId="37" xfId="33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9" fillId="5" borderId="41" xfId="45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5" borderId="42" xfId="45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7" fontId="19" fillId="5" borderId="42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5" borderId="43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9" fillId="5" borderId="44" xfId="45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1" fillId="0" borderId="0" xfId="36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36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4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hemes]&#10;&#10;Sci-Fi=&#10;&#10;Nature=&#10;&#10;robin=&#10;&#10;&#10;&#10;[SoundScheme.Nature]&#10;&#10;SystemAsterisk=C:\SNDSYS" xfId="20"/>
    <cellStyle name="chemes]&#10;&#10;Sci-Fi=&#10;&#10;Nature=&#10;&#10;robin=&#10;&#10;&#10;&#10;[SoundScheme.Nature]&#10;&#10;SystemAsterisk=C:\SNDSYS 2" xfId="21"/>
    <cellStyle name="Comma0" xfId="22"/>
    <cellStyle name="Comma0 2" xfId="23"/>
    <cellStyle name="Currency0" xfId="24"/>
    <cellStyle name="Currency0 2" xfId="25"/>
    <cellStyle name="Date" xfId="26"/>
    <cellStyle name="Date 2" xfId="27"/>
    <cellStyle name="Fixed" xfId="28"/>
    <cellStyle name="Fixed 2" xfId="29"/>
    <cellStyle name="Heading 1 2" xfId="30"/>
    <cellStyle name="Heading 2 2" xfId="31"/>
    <cellStyle name="N1" xfId="32"/>
    <cellStyle name="N1 2" xfId="33"/>
    <cellStyle name="N1 2 2" xfId="34"/>
    <cellStyle name="Normal 10" xfId="35"/>
    <cellStyle name="Normal 11" xfId="36"/>
    <cellStyle name="Normal 12" xfId="37"/>
    <cellStyle name="Normal 13" xfId="38"/>
    <cellStyle name="Normal 14" xfId="39"/>
    <cellStyle name="Normal 15" xfId="40"/>
    <cellStyle name="Normal 16" xfId="41"/>
    <cellStyle name="Normal 17" xfId="42"/>
    <cellStyle name="Normal 18" xfId="43"/>
    <cellStyle name="Normal 19" xfId="44"/>
    <cellStyle name="Normal 2" xfId="45"/>
    <cellStyle name="Normal 2 2" xfId="46"/>
    <cellStyle name="Normal 20" xfId="47"/>
    <cellStyle name="Normal 3" xfId="48"/>
    <cellStyle name="Normal 3 2" xfId="49"/>
    <cellStyle name="Normal 3 3" xfId="50"/>
    <cellStyle name="Normal 4" xfId="51"/>
    <cellStyle name="Normal 4 2" xfId="52"/>
    <cellStyle name="Normal 5" xfId="53"/>
    <cellStyle name="Normal 5 2" xfId="54"/>
    <cellStyle name="Normal 6" xfId="55"/>
    <cellStyle name="Normal 7" xfId="56"/>
    <cellStyle name="Normal 8" xfId="57"/>
    <cellStyle name="Normal 9" xfId="58"/>
    <cellStyle name="Total 2" xfId="59"/>
    <cellStyle name="Total 3" xfId="60"/>
    <cellStyle name="Total 3 2" xfId="61"/>
  </cellStyles>
  <dxfs count="2">
    <dxf>
      <fill>
        <patternFill patternType="solid">
          <fgColor rgb="00FFFFFF"/>
        </patternFill>
      </fill>
    </dxf>
    <dxf>
      <fill>
        <patternFill patternType="solid">
          <fgColor rgb="FF3D3D3D"/>
          <bgColor rgb="FFFFFFFF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ABA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AE3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A6A6A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M29"/>
  <sheetViews>
    <sheetView showFormulas="false" showGridLines="true" showRowColHeaders="true" showZeros="true" rightToLeft="false" tabSelected="false" showOutlineSymbols="true" defaultGridColor="true" view="normal" topLeftCell="D1" colorId="64" zoomScale="100" zoomScaleNormal="100" zoomScalePageLayoutView="100" workbookViewId="0">
      <selection pane="topLeft" activeCell="M2" activeCellId="0" sqref="M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5.28"/>
    <col collapsed="false" customWidth="true" hidden="false" outlineLevel="0" max="3" min="3" style="0" width="37.59"/>
    <col collapsed="false" customWidth="true" hidden="false" outlineLevel="0" max="4" min="4" style="0" width="11.57"/>
    <col collapsed="false" customWidth="true" hidden="false" outlineLevel="0" max="5" min="5" style="0" width="18.14"/>
    <col collapsed="false" customWidth="true" hidden="false" outlineLevel="0" max="10" min="6" style="0" width="10.57"/>
    <col collapsed="false" customWidth="true" hidden="false" outlineLevel="0" max="11" min="11" style="0" width="11.71"/>
    <col collapsed="false" customWidth="true" hidden="false" outlineLevel="0" max="12" min="12" style="0" width="9.57"/>
    <col collapsed="false" customWidth="true" hidden="false" outlineLevel="0" max="13" min="13" style="0" width="10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</row>
    <row r="2" customFormat="false" ht="15" hidden="false" customHeight="false" outlineLevel="0" collapsed="false">
      <c r="A2" s="4" t="n">
        <v>1</v>
      </c>
      <c r="B2" s="5" t="s">
        <v>13</v>
      </c>
      <c r="C2" s="5" t="s">
        <v>14</v>
      </c>
      <c r="D2" s="4" t="n">
        <v>4</v>
      </c>
      <c r="E2" s="6" t="n">
        <v>104.922100592379</v>
      </c>
      <c r="F2" s="7" t="n">
        <v>96.677690323</v>
      </c>
      <c r="G2" s="7" t="n">
        <v>85.289265</v>
      </c>
      <c r="H2" s="7" t="n">
        <v>93.570837</v>
      </c>
      <c r="I2" s="7" t="n">
        <v>150.73575</v>
      </c>
      <c r="J2" s="7" t="n">
        <v>90.7</v>
      </c>
      <c r="K2" s="7" t="n">
        <v>150.2</v>
      </c>
      <c r="L2" s="7" t="n">
        <v>93.0928551762115</v>
      </c>
      <c r="M2" s="7" t="n">
        <v>79.110407239819</v>
      </c>
    </row>
    <row r="3" customFormat="false" ht="15" hidden="false" customHeight="false" outlineLevel="0" collapsed="false">
      <c r="A3" s="4" t="n">
        <v>2</v>
      </c>
      <c r="B3" s="8" t="s">
        <v>15</v>
      </c>
      <c r="C3" s="9" t="s">
        <v>16</v>
      </c>
      <c r="D3" s="4" t="n">
        <v>6</v>
      </c>
      <c r="E3" s="6" t="n">
        <v>103.883185882701</v>
      </c>
      <c r="F3" s="7" t="n">
        <v>87.91327565</v>
      </c>
      <c r="G3" s="7" t="n">
        <v>65.0582</v>
      </c>
      <c r="H3" s="7" t="n">
        <v>97.118233</v>
      </c>
      <c r="I3" s="7" t="n">
        <v>130.4985</v>
      </c>
      <c r="J3" s="7" t="n">
        <v>114.1</v>
      </c>
      <c r="K3" s="7" t="n">
        <v>166.6</v>
      </c>
      <c r="L3" s="7" t="n">
        <v>74.921324339207</v>
      </c>
      <c r="M3" s="7" t="n">
        <v>94.8559540723982</v>
      </c>
    </row>
    <row r="4" customFormat="false" ht="15" hidden="false" customHeight="false" outlineLevel="0" collapsed="false">
      <c r="A4" s="4" t="n">
        <v>3</v>
      </c>
      <c r="B4" s="10" t="s">
        <v>17</v>
      </c>
      <c r="C4" s="5" t="s">
        <v>18</v>
      </c>
      <c r="D4" s="4" t="n">
        <v>9</v>
      </c>
      <c r="E4" s="6" t="n">
        <v>102.111732417982</v>
      </c>
      <c r="F4" s="7" t="n">
        <v>96.52015777</v>
      </c>
      <c r="G4" s="7" t="n">
        <v>62.34889</v>
      </c>
      <c r="H4" s="7" t="n">
        <v>109.712302</v>
      </c>
      <c r="I4" s="7" t="n">
        <v>128.139</v>
      </c>
      <c r="J4" s="7" t="n">
        <v>119.8</v>
      </c>
      <c r="K4" s="7" t="n">
        <v>134.5</v>
      </c>
      <c r="L4" s="7" t="n">
        <v>74.2055570851689</v>
      </c>
      <c r="M4" s="7" t="n">
        <v>91.6679524886878</v>
      </c>
    </row>
    <row r="5" customFormat="false" ht="15" hidden="false" customHeight="false" outlineLevel="0" collapsed="false">
      <c r="A5" s="4" t="n">
        <v>4</v>
      </c>
      <c r="B5" s="10" t="s">
        <v>19</v>
      </c>
      <c r="C5" s="5" t="s">
        <v>20</v>
      </c>
      <c r="D5" s="4" t="n">
        <v>24</v>
      </c>
      <c r="E5" s="6" t="n">
        <v>91.297075464026</v>
      </c>
      <c r="F5" s="7" t="n">
        <v>82.30179399</v>
      </c>
      <c r="G5" s="7" t="n">
        <v>76.543985</v>
      </c>
      <c r="H5" s="7" t="n">
        <v>80.249767</v>
      </c>
      <c r="I5" s="7" t="n">
        <v>122.05875</v>
      </c>
      <c r="J5" s="7" t="n">
        <v>99.7</v>
      </c>
      <c r="K5" s="7" t="n">
        <v>104.2</v>
      </c>
      <c r="L5" s="7" t="n">
        <v>90.8844988986784</v>
      </c>
      <c r="M5" s="7" t="n">
        <v>74.4378088235294</v>
      </c>
    </row>
    <row r="6" customFormat="false" ht="15" hidden="false" customHeight="false" outlineLevel="0" collapsed="false">
      <c r="A6" s="4" t="n">
        <v>5</v>
      </c>
      <c r="B6" s="8" t="s">
        <v>21</v>
      </c>
      <c r="C6" s="9" t="s">
        <v>22</v>
      </c>
      <c r="D6" s="4" t="n">
        <v>16</v>
      </c>
      <c r="E6" s="6" t="n">
        <v>98.2715339213396</v>
      </c>
      <c r="F6" s="7" t="n">
        <v>91.9552072</v>
      </c>
      <c r="G6" s="7" t="n">
        <v>95.556443</v>
      </c>
      <c r="H6" s="7" t="n">
        <v>72.277814</v>
      </c>
      <c r="I6" s="7" t="n">
        <v>153.549</v>
      </c>
      <c r="J6" s="7" t="n">
        <v>90.1</v>
      </c>
      <c r="K6" s="7" t="n">
        <v>129.1</v>
      </c>
      <c r="L6" s="7" t="n">
        <v>55.428046989721</v>
      </c>
      <c r="M6" s="7" t="n">
        <v>98.2057601809955</v>
      </c>
    </row>
    <row r="7" customFormat="false" ht="15" hidden="false" customHeight="false" outlineLevel="0" collapsed="false">
      <c r="A7" s="4" t="n">
        <v>6</v>
      </c>
      <c r="B7" s="8" t="s">
        <v>23</v>
      </c>
      <c r="C7" s="9" t="s">
        <v>24</v>
      </c>
      <c r="D7" s="4" t="n">
        <v>17</v>
      </c>
      <c r="E7" s="6" t="n">
        <v>97.7198964419788</v>
      </c>
      <c r="F7" s="7" t="n">
        <v>86.434774553</v>
      </c>
      <c r="G7" s="7" t="n">
        <v>73.27614</v>
      </c>
      <c r="H7" s="7" t="n">
        <v>90.008698</v>
      </c>
      <c r="I7" s="7" t="n">
        <v>144.74625</v>
      </c>
      <c r="J7" s="7" t="n">
        <v>99.5</v>
      </c>
      <c r="K7" s="7" t="n">
        <v>153.9</v>
      </c>
      <c r="L7" s="7" t="n">
        <v>43.9302955212922</v>
      </c>
      <c r="M7" s="7" t="n">
        <v>89.9630134615385</v>
      </c>
    </row>
    <row r="8" customFormat="false" ht="15" hidden="false" customHeight="false" outlineLevel="0" collapsed="false">
      <c r="A8" s="4" t="n">
        <v>7</v>
      </c>
      <c r="B8" s="8" t="s">
        <v>25</v>
      </c>
      <c r="C8" s="9" t="s">
        <v>26</v>
      </c>
      <c r="D8" s="4" t="n">
        <v>14</v>
      </c>
      <c r="E8" s="6" t="n">
        <v>99.2589706703964</v>
      </c>
      <c r="F8" s="7" t="n">
        <v>86.61708763</v>
      </c>
      <c r="G8" s="7" t="n">
        <v>70.581678</v>
      </c>
      <c r="H8" s="7" t="n">
        <v>75.164442</v>
      </c>
      <c r="I8" s="7" t="n">
        <v>140.118</v>
      </c>
      <c r="J8" s="7" t="n">
        <v>96.2</v>
      </c>
      <c r="K8" s="7" t="n">
        <v>149.2</v>
      </c>
      <c r="L8" s="7" t="n">
        <v>94.2817318281938</v>
      </c>
      <c r="M8" s="7" t="n">
        <v>81.9088259049774</v>
      </c>
    </row>
    <row r="9" customFormat="false" ht="15" hidden="false" customHeight="false" outlineLevel="0" collapsed="false">
      <c r="A9" s="4" t="n">
        <v>8</v>
      </c>
      <c r="B9" s="8" t="s">
        <v>27</v>
      </c>
      <c r="C9" s="9" t="s">
        <v>28</v>
      </c>
      <c r="D9" s="4" t="n">
        <v>20</v>
      </c>
      <c r="E9" s="6" t="n">
        <v>94.9581282751727</v>
      </c>
      <c r="F9" s="7" t="n">
        <v>88.185247633</v>
      </c>
      <c r="G9" s="7" t="n">
        <v>81.637532</v>
      </c>
      <c r="H9" s="7" t="n">
        <v>88.637163</v>
      </c>
      <c r="I9" s="7" t="n">
        <v>122.60325</v>
      </c>
      <c r="J9" s="7" t="n">
        <v>102.9</v>
      </c>
      <c r="K9" s="7" t="n">
        <v>127.2</v>
      </c>
      <c r="L9" s="7" t="n">
        <v>66.4783177312775</v>
      </c>
      <c r="M9" s="7" t="n">
        <v>82.0235158371041</v>
      </c>
    </row>
    <row r="10" customFormat="false" ht="15" hidden="false" customHeight="false" outlineLevel="0" collapsed="false">
      <c r="A10" s="4" t="n">
        <v>9</v>
      </c>
      <c r="B10" s="8" t="s">
        <v>29</v>
      </c>
      <c r="C10" s="9" t="s">
        <v>30</v>
      </c>
      <c r="D10" s="4" t="n">
        <v>22</v>
      </c>
      <c r="E10" s="6" t="n">
        <v>92.1339479155862</v>
      </c>
      <c r="F10" s="7" t="n">
        <v>82.194530633</v>
      </c>
      <c r="G10" s="7" t="n">
        <v>69.720857</v>
      </c>
      <c r="H10" s="7" t="n">
        <v>99.84012</v>
      </c>
      <c r="I10" s="7" t="n">
        <v>130.77075</v>
      </c>
      <c r="J10" s="7" t="n">
        <v>90.7</v>
      </c>
      <c r="K10" s="7" t="n">
        <v>114.3</v>
      </c>
      <c r="L10" s="7" t="n">
        <v>73.6853661894273</v>
      </c>
      <c r="M10" s="7" t="n">
        <v>75.8599595022624</v>
      </c>
    </row>
    <row r="11" customFormat="false" ht="15" hidden="false" customHeight="false" outlineLevel="0" collapsed="false">
      <c r="A11" s="4" t="n">
        <v>10</v>
      </c>
      <c r="B11" s="8" t="s">
        <v>31</v>
      </c>
      <c r="C11" s="9" t="s">
        <v>32</v>
      </c>
      <c r="D11" s="4" t="n">
        <v>25</v>
      </c>
      <c r="E11" s="6" t="n">
        <v>90.744806761651</v>
      </c>
      <c r="F11" s="7" t="n">
        <v>72.440479333</v>
      </c>
      <c r="G11" s="7" t="n">
        <v>73.16798</v>
      </c>
      <c r="H11" s="7" t="n">
        <v>91.063256</v>
      </c>
      <c r="I11" s="7" t="n">
        <v>133.85625</v>
      </c>
      <c r="J11" s="7" t="n">
        <v>92.4</v>
      </c>
      <c r="K11" s="7" t="n">
        <v>97.1</v>
      </c>
      <c r="L11" s="7" t="n">
        <v>68.6198834434655</v>
      </c>
      <c r="M11" s="7" t="n">
        <v>97.3106053167421</v>
      </c>
    </row>
    <row r="12" customFormat="false" ht="15" hidden="false" customHeight="false" outlineLevel="0" collapsed="false">
      <c r="A12" s="4" t="n">
        <v>11</v>
      </c>
      <c r="B12" s="8" t="s">
        <v>33</v>
      </c>
      <c r="C12" s="9" t="s">
        <v>34</v>
      </c>
      <c r="D12" s="4" t="n">
        <v>15</v>
      </c>
      <c r="E12" s="6" t="n">
        <v>99.0135427023943</v>
      </c>
      <c r="F12" s="7" t="n">
        <v>85.81937941</v>
      </c>
      <c r="G12" s="7" t="n">
        <v>83.693635</v>
      </c>
      <c r="H12" s="7" t="n">
        <v>90.232605</v>
      </c>
      <c r="I12" s="7" t="n">
        <v>126.1425</v>
      </c>
      <c r="J12" s="7" t="n">
        <v>98</v>
      </c>
      <c r="K12" s="7" t="n">
        <v>130.4</v>
      </c>
      <c r="L12" s="7" t="n">
        <v>90.1180708516887</v>
      </c>
      <c r="M12" s="7" t="n">
        <v>87.7021513574661</v>
      </c>
    </row>
    <row r="13" customFormat="false" ht="15" hidden="false" customHeight="false" outlineLevel="0" collapsed="false">
      <c r="A13" s="4" t="n">
        <v>12</v>
      </c>
      <c r="B13" s="8" t="s">
        <v>35</v>
      </c>
      <c r="C13" s="9" t="s">
        <v>36</v>
      </c>
      <c r="D13" s="4" t="n">
        <v>21</v>
      </c>
      <c r="E13" s="6" t="n">
        <v>93.0341240845125</v>
      </c>
      <c r="F13" s="7" t="n">
        <v>74.137651213</v>
      </c>
      <c r="G13" s="7" t="n">
        <v>100.804114</v>
      </c>
      <c r="H13" s="7" t="n">
        <v>80.678674</v>
      </c>
      <c r="I13" s="7" t="n">
        <v>128.95575</v>
      </c>
      <c r="J13" s="7" t="n">
        <v>111.5</v>
      </c>
      <c r="K13" s="7" t="n">
        <v>134.8</v>
      </c>
      <c r="L13" s="7" t="n">
        <v>58.5001835535977</v>
      </c>
      <c r="M13" s="7" t="n">
        <v>54.8966199095023</v>
      </c>
    </row>
    <row r="14" customFormat="false" ht="15" hidden="false" customHeight="false" outlineLevel="0" collapsed="false">
      <c r="A14" s="4" t="n">
        <v>13</v>
      </c>
      <c r="B14" s="8" t="s">
        <v>37</v>
      </c>
      <c r="C14" s="9" t="s">
        <v>38</v>
      </c>
      <c r="D14" s="4" t="n">
        <v>1</v>
      </c>
      <c r="E14" s="6" t="n">
        <v>110.819843620903</v>
      </c>
      <c r="F14" s="7" t="n">
        <v>108.34705972</v>
      </c>
      <c r="G14" s="7" t="n">
        <v>96.067543</v>
      </c>
      <c r="H14" s="7" t="n">
        <v>105.909279</v>
      </c>
      <c r="I14" s="7" t="n">
        <v>162.89625</v>
      </c>
      <c r="J14" s="7" t="n">
        <v>119.8</v>
      </c>
      <c r="K14" s="7" t="n">
        <v>161.6</v>
      </c>
      <c r="L14" s="7" t="n">
        <v>94.3276661160059</v>
      </c>
      <c r="M14" s="7" t="n">
        <v>37.6109511312217</v>
      </c>
    </row>
    <row r="15" customFormat="false" ht="15" hidden="false" customHeight="false" outlineLevel="0" collapsed="false">
      <c r="A15" s="4" t="n">
        <v>14</v>
      </c>
      <c r="B15" s="8" t="s">
        <v>39</v>
      </c>
      <c r="C15" s="9" t="s">
        <v>40</v>
      </c>
      <c r="D15" s="4" t="n">
        <v>19</v>
      </c>
      <c r="E15" s="6" t="n">
        <v>95.1345500324942</v>
      </c>
      <c r="F15" s="7" t="n">
        <v>73.111546737</v>
      </c>
      <c r="G15" s="7" t="n">
        <v>103.082503</v>
      </c>
      <c r="H15" s="7" t="n">
        <v>93.85393</v>
      </c>
      <c r="I15" s="7" t="n">
        <v>120.06225</v>
      </c>
      <c r="J15" s="7" t="n">
        <v>113.4</v>
      </c>
      <c r="K15" s="7" t="n">
        <v>159.8</v>
      </c>
      <c r="L15" s="7" t="n">
        <v>70.6808232378855</v>
      </c>
      <c r="M15" s="7" t="n">
        <v>27.0853472850679</v>
      </c>
    </row>
    <row r="16" customFormat="false" ht="15" hidden="false" customHeight="false" outlineLevel="0" collapsed="false">
      <c r="A16" s="4" t="n">
        <v>15</v>
      </c>
      <c r="B16" s="8" t="s">
        <v>41</v>
      </c>
      <c r="C16" s="9" t="s">
        <v>42</v>
      </c>
      <c r="D16" s="4" t="n">
        <v>3</v>
      </c>
      <c r="E16" s="6" t="n">
        <v>105.694520932293</v>
      </c>
      <c r="F16" s="7" t="n">
        <v>96.51889358</v>
      </c>
      <c r="G16" s="7" t="n">
        <v>96.668637</v>
      </c>
      <c r="H16" s="7" t="n">
        <v>85.707953</v>
      </c>
      <c r="I16" s="7" t="n">
        <v>145.2</v>
      </c>
      <c r="J16" s="7" t="n">
        <v>137.7</v>
      </c>
      <c r="K16" s="7" t="n">
        <v>144.1</v>
      </c>
      <c r="L16" s="7" t="n">
        <v>84.8299146475771</v>
      </c>
      <c r="M16" s="7" t="n">
        <v>54.8307692307692</v>
      </c>
    </row>
    <row r="17" customFormat="false" ht="15" hidden="false" customHeight="false" outlineLevel="0" collapsed="false">
      <c r="A17" s="4" t="n">
        <v>16</v>
      </c>
      <c r="B17" s="8" t="s">
        <v>43</v>
      </c>
      <c r="C17" s="9" t="s">
        <v>44</v>
      </c>
      <c r="D17" s="4" t="n">
        <v>23</v>
      </c>
      <c r="E17" s="6" t="n">
        <v>91.5864642382129</v>
      </c>
      <c r="F17" s="7" t="n">
        <v>53.909208687</v>
      </c>
      <c r="G17" s="7" t="n">
        <v>47.449717</v>
      </c>
      <c r="H17" s="7" t="n">
        <v>99.130578</v>
      </c>
      <c r="I17" s="7" t="n">
        <v>139.392</v>
      </c>
      <c r="J17" s="7" t="n">
        <v>102.7</v>
      </c>
      <c r="K17" s="7" t="n">
        <v>151.8</v>
      </c>
      <c r="L17" s="7" t="n">
        <v>78.0260416666667</v>
      </c>
      <c r="M17" s="7" t="n">
        <v>60.2841685520362</v>
      </c>
    </row>
    <row r="18" customFormat="false" ht="15" hidden="false" customHeight="false" outlineLevel="0" collapsed="false">
      <c r="A18" s="4" t="n">
        <v>17</v>
      </c>
      <c r="B18" s="8" t="s">
        <v>45</v>
      </c>
      <c r="C18" s="9" t="s">
        <v>46</v>
      </c>
      <c r="D18" s="4" t="n">
        <v>11</v>
      </c>
      <c r="E18" s="6" t="n">
        <v>99.9816388118998</v>
      </c>
      <c r="F18" s="7" t="n">
        <v>82.02610283</v>
      </c>
      <c r="G18" s="7" t="n">
        <v>54.832084</v>
      </c>
      <c r="H18" s="7" t="n">
        <v>99.838911</v>
      </c>
      <c r="I18" s="7" t="n">
        <v>139.029</v>
      </c>
      <c r="J18" s="7" t="n">
        <v>105.6</v>
      </c>
      <c r="K18" s="7" t="n">
        <v>142.3</v>
      </c>
      <c r="L18" s="7" t="n">
        <v>73.3907626651982</v>
      </c>
      <c r="M18" s="7" t="n">
        <v>102.83625</v>
      </c>
    </row>
    <row r="19" customFormat="false" ht="15" hidden="false" customHeight="false" outlineLevel="0" collapsed="false">
      <c r="A19" s="4" t="n">
        <v>18</v>
      </c>
      <c r="B19" s="8" t="s">
        <v>47</v>
      </c>
      <c r="C19" s="9" t="s">
        <v>48</v>
      </c>
      <c r="D19" s="4" t="n">
        <v>12</v>
      </c>
      <c r="E19" s="6" t="n">
        <v>99.8859952862522</v>
      </c>
      <c r="F19" s="7" t="n">
        <v>92.816440433</v>
      </c>
      <c r="G19" s="7" t="n">
        <v>71.60284</v>
      </c>
      <c r="H19" s="7" t="n">
        <v>91.713163</v>
      </c>
      <c r="I19" s="7" t="n">
        <v>136.03425</v>
      </c>
      <c r="J19" s="7" t="n">
        <v>104.9</v>
      </c>
      <c r="K19" s="7" t="n">
        <v>129.3</v>
      </c>
      <c r="L19" s="7" t="n">
        <v>89.2406387665198</v>
      </c>
      <c r="M19" s="7" t="n">
        <v>83.4806300904977</v>
      </c>
    </row>
    <row r="20" customFormat="false" ht="15" hidden="false" customHeight="false" outlineLevel="0" collapsed="false">
      <c r="A20" s="4" t="n">
        <v>19</v>
      </c>
      <c r="B20" s="8" t="s">
        <v>49</v>
      </c>
      <c r="C20" s="9" t="s">
        <v>50</v>
      </c>
      <c r="D20" s="4" t="n">
        <v>2</v>
      </c>
      <c r="E20" s="6" t="n">
        <v>109.158261027555</v>
      </c>
      <c r="F20" s="7" t="n">
        <v>92.017541443</v>
      </c>
      <c r="G20" s="7" t="n">
        <v>78.329543</v>
      </c>
      <c r="H20" s="7" t="n">
        <v>90.055508</v>
      </c>
      <c r="I20" s="7" t="n">
        <v>129.7725</v>
      </c>
      <c r="J20" s="7" t="n">
        <v>145</v>
      </c>
      <c r="K20" s="7" t="n">
        <v>160.2</v>
      </c>
      <c r="L20" s="7" t="n">
        <v>83.7835444199706</v>
      </c>
      <c r="M20" s="7" t="n">
        <v>94.1074513574661</v>
      </c>
    </row>
    <row r="21" customFormat="false" ht="15" hidden="false" customHeight="false" outlineLevel="0" collapsed="false">
      <c r="A21" s="4" t="n">
        <v>20</v>
      </c>
      <c r="B21" s="8" t="s">
        <v>51</v>
      </c>
      <c r="C21" s="9" t="s">
        <v>52</v>
      </c>
      <c r="D21" s="4" t="n">
        <v>7</v>
      </c>
      <c r="E21" s="6" t="n">
        <v>102.871076427004</v>
      </c>
      <c r="F21" s="7" t="n">
        <v>66.701863743</v>
      </c>
      <c r="G21" s="7" t="n">
        <v>71.510087</v>
      </c>
      <c r="H21" s="7" t="n">
        <v>110.275302</v>
      </c>
      <c r="I21" s="7" t="n">
        <v>140.57175</v>
      </c>
      <c r="J21" s="7" t="n">
        <v>114.3</v>
      </c>
      <c r="K21" s="7" t="n">
        <v>141.4</v>
      </c>
      <c r="L21" s="7" t="n">
        <v>85.199063876652</v>
      </c>
      <c r="M21" s="7" t="n">
        <v>93.0105447963801</v>
      </c>
    </row>
    <row r="22" customFormat="false" ht="15" hidden="false" customHeight="false" outlineLevel="0" collapsed="false">
      <c r="A22" s="4" t="n">
        <v>21</v>
      </c>
      <c r="B22" s="8" t="s">
        <v>53</v>
      </c>
      <c r="C22" s="9" t="s">
        <v>54</v>
      </c>
      <c r="D22" s="4" t="n">
        <v>10</v>
      </c>
      <c r="E22" s="6" t="n">
        <v>100.507003913233</v>
      </c>
      <c r="F22" s="7" t="n">
        <v>86.54866318</v>
      </c>
      <c r="G22" s="7" t="n">
        <v>75.941066</v>
      </c>
      <c r="H22" s="7" t="n">
        <v>92.99802</v>
      </c>
      <c r="I22" s="7" t="n">
        <v>125.7795</v>
      </c>
      <c r="J22" s="7" t="n">
        <v>120.5</v>
      </c>
      <c r="K22" s="7" t="n">
        <v>138.4</v>
      </c>
      <c r="L22" s="7" t="n">
        <v>75.7575486417034</v>
      </c>
      <c r="M22" s="7" t="n">
        <v>88.1312334841629</v>
      </c>
    </row>
    <row r="23" customFormat="false" ht="15" hidden="false" customHeight="false" outlineLevel="0" collapsed="false">
      <c r="A23" s="4" t="n">
        <v>22</v>
      </c>
      <c r="B23" s="8" t="s">
        <v>55</v>
      </c>
      <c r="C23" s="9" t="s">
        <v>56</v>
      </c>
      <c r="D23" s="4" t="n">
        <v>13</v>
      </c>
      <c r="E23" s="6" t="n">
        <v>99.8026018188005</v>
      </c>
      <c r="F23" s="7" t="n">
        <v>56.148472803</v>
      </c>
      <c r="G23" s="7" t="n">
        <v>104.742064</v>
      </c>
      <c r="H23" s="7" t="n">
        <v>92.686512</v>
      </c>
      <c r="I23" s="7" t="n">
        <v>112.43925</v>
      </c>
      <c r="J23" s="7" t="n">
        <v>121.1</v>
      </c>
      <c r="K23" s="7" t="n">
        <v>134.7</v>
      </c>
      <c r="L23" s="7" t="n">
        <v>91.9402533039648</v>
      </c>
      <c r="M23" s="7" t="n">
        <v>84.6642624434389</v>
      </c>
    </row>
    <row r="24" customFormat="false" ht="15" hidden="false" customHeight="false" outlineLevel="0" collapsed="false">
      <c r="A24" s="4" t="n">
        <v>23</v>
      </c>
      <c r="B24" s="8" t="s">
        <v>57</v>
      </c>
      <c r="C24" s="9" t="s">
        <v>58</v>
      </c>
      <c r="D24" s="4" t="n">
        <v>8</v>
      </c>
      <c r="E24" s="6" t="n">
        <v>102.643384810456</v>
      </c>
      <c r="F24" s="7" t="n">
        <v>90.489248497</v>
      </c>
      <c r="G24" s="7" t="n">
        <v>90.191027</v>
      </c>
      <c r="H24" s="7" t="n">
        <v>91.624818</v>
      </c>
      <c r="I24" s="7" t="n">
        <v>135.85275</v>
      </c>
      <c r="J24" s="7" t="n">
        <v>105.6</v>
      </c>
      <c r="K24" s="7" t="n">
        <v>116.7</v>
      </c>
      <c r="L24" s="7" t="n">
        <v>92.5632571585903</v>
      </c>
      <c r="M24" s="7" t="n">
        <v>98.1259778280543</v>
      </c>
    </row>
    <row r="25" customFormat="false" ht="15" hidden="false" customHeight="false" outlineLevel="0" collapsed="false">
      <c r="A25" s="4" t="n">
        <v>24</v>
      </c>
      <c r="B25" s="8" t="s">
        <v>59</v>
      </c>
      <c r="C25" s="9" t="s">
        <v>60</v>
      </c>
      <c r="D25" s="4" t="n">
        <v>5</v>
      </c>
      <c r="E25" s="6" t="n">
        <v>104.525994736913</v>
      </c>
      <c r="F25" s="7" t="n">
        <v>70.99707698</v>
      </c>
      <c r="G25" s="7" t="n">
        <v>77.614756</v>
      </c>
      <c r="H25" s="7" t="n">
        <v>100.831628</v>
      </c>
      <c r="I25" s="7" t="n">
        <v>109.71675</v>
      </c>
      <c r="J25" s="7" t="n">
        <v>133.7</v>
      </c>
      <c r="K25" s="7" t="n">
        <v>178.9</v>
      </c>
      <c r="L25" s="7" t="n">
        <v>65.5669052863436</v>
      </c>
      <c r="M25" s="7" t="n">
        <v>98.8808416289593</v>
      </c>
    </row>
    <row r="26" customFormat="false" ht="15" hidden="false" customHeight="false" outlineLevel="0" collapsed="false">
      <c r="A26" s="4" t="n">
        <v>25</v>
      </c>
      <c r="B26" s="8" t="s">
        <v>61</v>
      </c>
      <c r="C26" s="0" t="s">
        <v>62</v>
      </c>
      <c r="D26" s="4" t="n">
        <v>18</v>
      </c>
      <c r="E26" s="6" t="n">
        <v>95.1520338853832</v>
      </c>
      <c r="F26" s="7" t="n">
        <v>78.902062933</v>
      </c>
      <c r="G26" s="7" t="n">
        <v>87.954305</v>
      </c>
      <c r="H26" s="7" t="n">
        <v>102.216488</v>
      </c>
      <c r="I26" s="7" t="n">
        <v>125.14425</v>
      </c>
      <c r="J26" s="7" t="n">
        <v>107.3</v>
      </c>
      <c r="K26" s="7" t="n">
        <v>121.1</v>
      </c>
      <c r="L26" s="7" t="n">
        <v>63.8879864170338</v>
      </c>
      <c r="M26" s="7" t="n">
        <v>74.7111787330317</v>
      </c>
    </row>
    <row r="27" customFormat="false" ht="15" hidden="false" customHeight="false" outlineLevel="0" collapsed="false">
      <c r="D27" s="11" t="s">
        <v>63</v>
      </c>
      <c r="E27" s="12" t="n">
        <v>99.4045</v>
      </c>
      <c r="F27" s="12" t="n">
        <v>83.18925827616</v>
      </c>
      <c r="G27" s="13" t="n">
        <v>79.74659564</v>
      </c>
      <c r="H27" s="12" t="n">
        <v>92.666001</v>
      </c>
      <c r="I27" s="12" t="n">
        <v>133.36257</v>
      </c>
      <c r="J27" s="12" t="n">
        <v>109.462</v>
      </c>
      <c r="K27" s="12" t="n">
        <v>138.85842</v>
      </c>
      <c r="L27" s="12" t="n">
        <v>77.2</v>
      </c>
      <c r="M27" s="14" t="n">
        <v>80.2280872262443</v>
      </c>
    </row>
    <row r="28" customFormat="false" ht="15" hidden="false" customHeight="false" outlineLevel="0" collapsed="false">
      <c r="D28" s="15" t="s">
        <v>64</v>
      </c>
      <c r="E28" s="16" t="n">
        <v>14.99124</v>
      </c>
      <c r="F28" s="16" t="n">
        <v>19.4</v>
      </c>
      <c r="G28" s="17" t="n">
        <v>21.9</v>
      </c>
      <c r="H28" s="16" t="n">
        <v>10.875689</v>
      </c>
      <c r="I28" s="16" t="s">
        <v>65</v>
      </c>
      <c r="J28" s="16" t="n">
        <v>14.17282</v>
      </c>
      <c r="K28" s="16" t="n">
        <v>6.40487</v>
      </c>
      <c r="L28" s="16" t="n">
        <v>16.99</v>
      </c>
      <c r="M28" s="18" t="n">
        <v>16.2</v>
      </c>
    </row>
    <row r="29" customFormat="false" ht="15" hidden="false" customHeight="false" outlineLevel="0" collapsed="false">
      <c r="D29" s="19" t="s">
        <v>66</v>
      </c>
      <c r="E29" s="20" t="n">
        <v>14.70962</v>
      </c>
      <c r="F29" s="20" t="n">
        <v>20.0718981207</v>
      </c>
      <c r="G29" s="21" t="n">
        <v>24.6</v>
      </c>
      <c r="H29" s="20" t="n">
        <v>20.353068</v>
      </c>
      <c r="I29" s="20" t="s">
        <v>65</v>
      </c>
      <c r="J29" s="20" t="n">
        <v>38.66299</v>
      </c>
      <c r="K29" s="20" t="n">
        <v>22.39122</v>
      </c>
      <c r="L29" s="20" t="n">
        <v>27.49</v>
      </c>
      <c r="M29" s="22" t="n">
        <v>11.6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5.28"/>
    <col collapsed="false" customWidth="true" hidden="false" outlineLevel="0" max="4" min="3" style="0" width="11"/>
    <col collapsed="false" customWidth="true" hidden="false" outlineLevel="0" max="5" min="5" style="0" width="16.28"/>
    <col collapsed="false" customWidth="true" hidden="false" outlineLevel="0" max="6" min="6" style="0" width="11.28"/>
    <col collapsed="false" customWidth="true" hidden="false" outlineLevel="0" max="8" min="7" style="0" width="10.43"/>
    <col collapsed="false" customWidth="true" hidden="false" outlineLevel="0" max="9" min="9" style="0" width="11.43"/>
    <col collapsed="false" customWidth="true" hidden="false" outlineLevel="0" max="10" min="10" style="0" width="10.14"/>
    <col collapsed="false" customWidth="true" hidden="false" outlineLevel="0" max="11" min="11" style="0" width="10.43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67</v>
      </c>
      <c r="E1" s="2" t="s">
        <v>68</v>
      </c>
      <c r="F1" s="3" t="s">
        <v>5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</row>
    <row r="2" customFormat="false" ht="15" hidden="false" customHeight="false" outlineLevel="0" collapsed="false">
      <c r="A2" s="4" t="n">
        <v>1</v>
      </c>
      <c r="B2" s="5" t="s">
        <v>13</v>
      </c>
      <c r="C2" s="5" t="s">
        <v>14</v>
      </c>
      <c r="D2" s="4" t="n">
        <f aca="false">RANK(E2,E$2:E$26)</f>
        <v>7</v>
      </c>
      <c r="E2" s="6" t="n">
        <v>35.7022166666667</v>
      </c>
      <c r="F2" s="7" t="n">
        <v>33.6133</v>
      </c>
      <c r="G2" s="7" t="n">
        <v>37.4</v>
      </c>
      <c r="H2" s="7" t="n">
        <v>33.7</v>
      </c>
      <c r="I2" s="7" t="n">
        <v>41.7</v>
      </c>
      <c r="J2" s="7" t="n">
        <v>34.9</v>
      </c>
      <c r="K2" s="7" t="n">
        <v>32.9</v>
      </c>
    </row>
    <row r="3" customFormat="false" ht="15" hidden="false" customHeight="false" outlineLevel="0" collapsed="false">
      <c r="A3" s="4" t="n">
        <v>2</v>
      </c>
      <c r="B3" s="8" t="s">
        <v>15</v>
      </c>
      <c r="C3" s="9" t="s">
        <v>16</v>
      </c>
      <c r="D3" s="4" t="n">
        <f aca="false">RANK(E3,E$2:E$26)</f>
        <v>13</v>
      </c>
      <c r="E3" s="6" t="n">
        <v>34.7005555555556</v>
      </c>
      <c r="F3" s="7" t="n">
        <v>34.17</v>
      </c>
      <c r="G3" s="7" t="n">
        <v>35.15</v>
      </c>
      <c r="H3" s="7" t="n">
        <v>34.4333333333333</v>
      </c>
      <c r="I3" s="7" t="n">
        <v>39.7</v>
      </c>
      <c r="J3" s="7" t="n">
        <v>33.6</v>
      </c>
      <c r="K3" s="7" t="n">
        <v>31.15</v>
      </c>
    </row>
    <row r="4" customFormat="false" ht="15" hidden="false" customHeight="false" outlineLevel="0" collapsed="false">
      <c r="A4" s="4" t="n">
        <v>3</v>
      </c>
      <c r="B4" s="10" t="s">
        <v>17</v>
      </c>
      <c r="C4" s="5" t="s">
        <v>18</v>
      </c>
      <c r="D4" s="4" t="n">
        <f aca="false">RANK(E4,E$2:E$26)</f>
        <v>11</v>
      </c>
      <c r="E4" s="6" t="n">
        <v>35.1861111111111</v>
      </c>
      <c r="F4" s="7" t="n">
        <v>31.85</v>
      </c>
      <c r="G4" s="7" t="n">
        <v>36.85</v>
      </c>
      <c r="H4" s="7" t="n">
        <v>32.8666666666667</v>
      </c>
      <c r="I4" s="7" t="n">
        <v>42.4</v>
      </c>
      <c r="J4" s="7" t="n">
        <v>34.1</v>
      </c>
      <c r="K4" s="7" t="n">
        <v>33.05</v>
      </c>
    </row>
    <row r="5" customFormat="false" ht="15" hidden="false" customHeight="false" outlineLevel="0" collapsed="false">
      <c r="A5" s="4" t="n">
        <v>4</v>
      </c>
      <c r="B5" s="10" t="s">
        <v>19</v>
      </c>
      <c r="C5" s="5" t="s">
        <v>20</v>
      </c>
      <c r="D5" s="4" t="n">
        <f aca="false">RANK(E5,E$2:E$26)</f>
        <v>9</v>
      </c>
      <c r="E5" s="6" t="n">
        <v>35.5466722222222</v>
      </c>
      <c r="F5" s="7" t="n">
        <v>34.4467</v>
      </c>
      <c r="G5" s="7" t="n">
        <v>36.85</v>
      </c>
      <c r="H5" s="7" t="n">
        <v>36.0333333333333</v>
      </c>
      <c r="I5" s="7" t="n">
        <v>40.9</v>
      </c>
      <c r="J5" s="7" t="n">
        <v>32.2</v>
      </c>
      <c r="K5" s="7" t="n">
        <v>32.85</v>
      </c>
    </row>
    <row r="6" customFormat="false" ht="15" hidden="false" customHeight="false" outlineLevel="0" collapsed="false">
      <c r="A6" s="4" t="n">
        <v>5</v>
      </c>
      <c r="B6" s="8" t="s">
        <v>21</v>
      </c>
      <c r="C6" s="9" t="s">
        <v>22</v>
      </c>
      <c r="D6" s="4" t="n">
        <f aca="false">RANK(E6,E$2:E$26)</f>
        <v>21</v>
      </c>
      <c r="E6" s="6" t="n">
        <v>33.4438833333333</v>
      </c>
      <c r="F6" s="7" t="n">
        <v>32.3133</v>
      </c>
      <c r="G6" s="7" t="n">
        <v>35.1</v>
      </c>
      <c r="H6" s="7" t="n">
        <v>33.5</v>
      </c>
      <c r="I6" s="7" t="n">
        <v>40.5</v>
      </c>
      <c r="J6" s="7" t="n">
        <v>31.2</v>
      </c>
      <c r="K6" s="7" t="n">
        <v>28.05</v>
      </c>
    </row>
    <row r="7" customFormat="false" ht="15" hidden="false" customHeight="false" outlineLevel="0" collapsed="false">
      <c r="A7" s="4" t="n">
        <v>6</v>
      </c>
      <c r="B7" s="8" t="s">
        <v>23</v>
      </c>
      <c r="C7" s="9" t="s">
        <v>24</v>
      </c>
      <c r="D7" s="4" t="n">
        <f aca="false">RANK(E7,E$2:E$26)</f>
        <v>10</v>
      </c>
      <c r="E7" s="6" t="n">
        <v>35.3911111111111</v>
      </c>
      <c r="F7" s="7" t="n">
        <v>32.68</v>
      </c>
      <c r="G7" s="7" t="n">
        <v>32.75</v>
      </c>
      <c r="H7" s="7" t="n">
        <v>36.1666666666667</v>
      </c>
      <c r="I7" s="7" t="n">
        <v>42.5</v>
      </c>
      <c r="J7" s="7" t="n">
        <v>34.9</v>
      </c>
      <c r="K7" s="7" t="n">
        <v>33.35</v>
      </c>
    </row>
    <row r="8" customFormat="false" ht="15" hidden="false" customHeight="false" outlineLevel="0" collapsed="false">
      <c r="A8" s="4" t="n">
        <v>7</v>
      </c>
      <c r="B8" s="8" t="s">
        <v>25</v>
      </c>
      <c r="C8" s="9" t="s">
        <v>26</v>
      </c>
      <c r="D8" s="4" t="n">
        <f aca="false">RANK(E8,E$2:E$26)</f>
        <v>3</v>
      </c>
      <c r="E8" s="6" t="n">
        <v>36.0611055555555</v>
      </c>
      <c r="F8" s="7" t="n">
        <v>30.7333</v>
      </c>
      <c r="G8" s="7" t="n">
        <v>38.2</v>
      </c>
      <c r="H8" s="7" t="n">
        <v>36.1333333333333</v>
      </c>
      <c r="I8" s="7" t="n">
        <v>41.8</v>
      </c>
      <c r="J8" s="7" t="n">
        <v>35.4</v>
      </c>
      <c r="K8" s="7" t="n">
        <v>34.1</v>
      </c>
    </row>
    <row r="9" customFormat="false" ht="15" hidden="false" customHeight="false" outlineLevel="0" collapsed="false">
      <c r="A9" s="4" t="n">
        <v>8</v>
      </c>
      <c r="B9" s="8" t="s">
        <v>27</v>
      </c>
      <c r="C9" s="9" t="s">
        <v>28</v>
      </c>
      <c r="D9" s="4" t="n">
        <f aca="false">RANK(E9,E$2:E$26)</f>
        <v>14</v>
      </c>
      <c r="E9" s="6" t="n">
        <v>34.5277722222222</v>
      </c>
      <c r="F9" s="7" t="n">
        <v>32.0333</v>
      </c>
      <c r="G9" s="7" t="n">
        <v>37.1</v>
      </c>
      <c r="H9" s="7" t="n">
        <v>32.2333333333333</v>
      </c>
      <c r="I9" s="7" t="n">
        <v>41.2</v>
      </c>
      <c r="J9" s="7" t="n">
        <v>33.2</v>
      </c>
      <c r="K9" s="7" t="n">
        <v>31.4</v>
      </c>
    </row>
    <row r="10" customFormat="false" ht="15" hidden="false" customHeight="false" outlineLevel="0" collapsed="false">
      <c r="A10" s="4" t="n">
        <v>9</v>
      </c>
      <c r="B10" s="8" t="s">
        <v>29</v>
      </c>
      <c r="C10" s="9" t="s">
        <v>30</v>
      </c>
      <c r="D10" s="4" t="n">
        <f aca="false">RANK(E10,E$2:E$26)</f>
        <v>19</v>
      </c>
      <c r="E10" s="6" t="n">
        <v>33.6294499944444</v>
      </c>
      <c r="F10" s="7" t="n">
        <v>29.5267</v>
      </c>
      <c r="G10" s="7" t="n">
        <v>35.8333333</v>
      </c>
      <c r="H10" s="7" t="n">
        <v>33.1666666666667</v>
      </c>
      <c r="I10" s="7" t="n">
        <v>40.6</v>
      </c>
      <c r="J10" s="7" t="n">
        <v>30.2</v>
      </c>
      <c r="K10" s="7" t="n">
        <v>32.45</v>
      </c>
    </row>
    <row r="11" customFormat="false" ht="15" hidden="false" customHeight="false" outlineLevel="0" collapsed="false">
      <c r="A11" s="4" t="n">
        <v>10</v>
      </c>
      <c r="B11" s="8" t="s">
        <v>31</v>
      </c>
      <c r="C11" s="9" t="s">
        <v>32</v>
      </c>
      <c r="D11" s="4" t="n">
        <f aca="false">RANK(E11,E$2:E$26)</f>
        <v>18</v>
      </c>
      <c r="E11" s="6" t="n">
        <v>34.0527833333333</v>
      </c>
      <c r="F11" s="7" t="n">
        <v>30.9167</v>
      </c>
      <c r="G11" s="7" t="n">
        <v>37.15</v>
      </c>
      <c r="H11" s="7" t="n">
        <v>31.6</v>
      </c>
      <c r="I11" s="7" t="n">
        <v>39</v>
      </c>
      <c r="J11" s="7" t="n">
        <v>33.1</v>
      </c>
      <c r="K11" s="7" t="n">
        <v>32.55</v>
      </c>
    </row>
    <row r="12" customFormat="false" ht="15" hidden="false" customHeight="false" outlineLevel="0" collapsed="false">
      <c r="A12" s="4" t="n">
        <v>11</v>
      </c>
      <c r="B12" s="8" t="s">
        <v>33</v>
      </c>
      <c r="C12" s="9" t="s">
        <v>34</v>
      </c>
      <c r="D12" s="4" t="n">
        <f aca="false">RANK(E12,E$2:E$26)</f>
        <v>16</v>
      </c>
      <c r="E12" s="6" t="n">
        <v>34.1772166666667</v>
      </c>
      <c r="F12" s="7" t="n">
        <v>31.0133</v>
      </c>
      <c r="G12" s="7" t="n">
        <v>36.2</v>
      </c>
      <c r="H12" s="7" t="n">
        <v>35.5</v>
      </c>
      <c r="I12" s="7" t="n">
        <v>39.4</v>
      </c>
      <c r="J12" s="7" t="n">
        <v>32.7</v>
      </c>
      <c r="K12" s="7" t="n">
        <v>30.25</v>
      </c>
    </row>
    <row r="13" customFormat="false" ht="15" hidden="false" customHeight="false" outlineLevel="0" collapsed="false">
      <c r="A13" s="4" t="n">
        <v>12</v>
      </c>
      <c r="B13" s="8" t="s">
        <v>35</v>
      </c>
      <c r="C13" s="9" t="s">
        <v>36</v>
      </c>
      <c r="D13" s="4" t="n">
        <f aca="false">RANK(E13,E$2:E$26)</f>
        <v>4</v>
      </c>
      <c r="E13" s="6" t="n">
        <v>35.9638833333333</v>
      </c>
      <c r="F13" s="7" t="n">
        <v>32.6833</v>
      </c>
      <c r="G13" s="7" t="n">
        <v>34.6</v>
      </c>
      <c r="H13" s="7" t="n">
        <v>35.1</v>
      </c>
      <c r="I13" s="7" t="n">
        <v>43.5</v>
      </c>
      <c r="J13" s="7" t="n">
        <v>37.2</v>
      </c>
      <c r="K13" s="7" t="n">
        <v>32.7</v>
      </c>
    </row>
    <row r="14" customFormat="false" ht="15" hidden="false" customHeight="false" outlineLevel="0" collapsed="false">
      <c r="A14" s="4" t="n">
        <v>13</v>
      </c>
      <c r="B14" s="8" t="s">
        <v>37</v>
      </c>
      <c r="C14" s="9" t="s">
        <v>38</v>
      </c>
      <c r="D14" s="4" t="n">
        <f aca="false">RANK(E14,E$2:E$26)</f>
        <v>1</v>
      </c>
      <c r="E14" s="6" t="n">
        <v>36.7661055555556</v>
      </c>
      <c r="F14" s="7" t="n">
        <v>32.3133</v>
      </c>
      <c r="G14" s="7" t="n">
        <v>38.5</v>
      </c>
      <c r="H14" s="7" t="n">
        <v>40.8333333333333</v>
      </c>
      <c r="I14" s="7" t="n">
        <v>42.9</v>
      </c>
      <c r="J14" s="7" t="n">
        <v>34.5</v>
      </c>
      <c r="K14" s="7" t="n">
        <v>31.55</v>
      </c>
    </row>
    <row r="15" customFormat="false" ht="15" hidden="false" customHeight="false" outlineLevel="0" collapsed="false">
      <c r="A15" s="4" t="n">
        <v>14</v>
      </c>
      <c r="B15" s="8" t="s">
        <v>39</v>
      </c>
      <c r="C15" s="9" t="s">
        <v>40</v>
      </c>
      <c r="D15" s="4" t="n">
        <f aca="false">RANK(E15,E$2:E$26)</f>
        <v>2</v>
      </c>
      <c r="E15" s="6" t="n">
        <v>36.2566666666667</v>
      </c>
      <c r="F15" s="7" t="n">
        <v>35.19</v>
      </c>
      <c r="G15" s="7" t="n">
        <v>35.8</v>
      </c>
      <c r="H15" s="7" t="n">
        <v>33.9</v>
      </c>
      <c r="I15" s="7" t="n">
        <v>43.3</v>
      </c>
      <c r="J15" s="7" t="n">
        <v>37</v>
      </c>
      <c r="K15" s="7" t="n">
        <v>32.35</v>
      </c>
    </row>
    <row r="16" customFormat="false" ht="15" hidden="false" customHeight="false" outlineLevel="0" collapsed="false">
      <c r="A16" s="4" t="n">
        <v>15</v>
      </c>
      <c r="B16" s="8" t="s">
        <v>41</v>
      </c>
      <c r="C16" s="9" t="s">
        <v>42</v>
      </c>
      <c r="D16" s="4" t="n">
        <f aca="false">RANK(E16,E$2:E$26)</f>
        <v>23</v>
      </c>
      <c r="E16" s="6" t="n">
        <v>32.7233333333333</v>
      </c>
      <c r="F16" s="7" t="n">
        <v>32.59</v>
      </c>
      <c r="G16" s="7" t="n">
        <v>35</v>
      </c>
      <c r="H16" s="7" t="n">
        <v>20.4</v>
      </c>
      <c r="I16" s="7" t="n">
        <v>44.2</v>
      </c>
      <c r="J16" s="7" t="n">
        <v>33.8</v>
      </c>
      <c r="K16" s="7" t="n">
        <v>30.35</v>
      </c>
    </row>
    <row r="17" customFormat="false" ht="15" hidden="false" customHeight="false" outlineLevel="0" collapsed="false">
      <c r="A17" s="4" t="n">
        <v>16</v>
      </c>
      <c r="B17" s="8" t="s">
        <v>43</v>
      </c>
      <c r="C17" s="9" t="s">
        <v>44</v>
      </c>
      <c r="D17" s="4" t="n">
        <f aca="false">RANK(E17,E$2:E$26)</f>
        <v>8</v>
      </c>
      <c r="E17" s="6" t="n">
        <v>35.5816666722222</v>
      </c>
      <c r="F17" s="7" t="n">
        <v>28.69</v>
      </c>
      <c r="G17" s="7" t="n">
        <v>37.4666667</v>
      </c>
      <c r="H17" s="7" t="n">
        <v>35.2333333333333</v>
      </c>
      <c r="I17" s="7" t="n">
        <v>43.3</v>
      </c>
      <c r="J17" s="7" t="n">
        <v>35.1</v>
      </c>
      <c r="K17" s="7" t="n">
        <v>33.7</v>
      </c>
    </row>
    <row r="18" customFormat="false" ht="15" hidden="false" customHeight="false" outlineLevel="0" collapsed="false">
      <c r="A18" s="4" t="n">
        <v>17</v>
      </c>
      <c r="B18" s="8" t="s">
        <v>45</v>
      </c>
      <c r="C18" s="9" t="s">
        <v>46</v>
      </c>
      <c r="D18" s="4" t="n">
        <f aca="false">RANK(E18,E$2:E$26)</f>
        <v>6</v>
      </c>
      <c r="E18" s="6" t="n">
        <v>35.7466722166667</v>
      </c>
      <c r="F18" s="7" t="n">
        <v>32.4967</v>
      </c>
      <c r="G18" s="7" t="n">
        <v>37.0333333</v>
      </c>
      <c r="H18" s="7" t="n">
        <v>34.6</v>
      </c>
      <c r="I18" s="7" t="n">
        <v>42.9</v>
      </c>
      <c r="J18" s="7" t="n">
        <v>34.2</v>
      </c>
      <c r="K18" s="7" t="n">
        <v>33.25</v>
      </c>
    </row>
    <row r="19" customFormat="false" ht="15" hidden="false" customHeight="false" outlineLevel="0" collapsed="false">
      <c r="A19" s="4" t="n">
        <v>18</v>
      </c>
      <c r="B19" s="8" t="s">
        <v>47</v>
      </c>
      <c r="C19" s="9" t="s">
        <v>48</v>
      </c>
      <c r="D19" s="4" t="n">
        <f aca="false">RANK(E19,E$2:E$26)</f>
        <v>24</v>
      </c>
      <c r="E19" s="6" t="n">
        <v>31.5861166666667</v>
      </c>
      <c r="F19" s="7" t="n">
        <v>30.9167</v>
      </c>
      <c r="G19" s="7" t="n">
        <v>36.25</v>
      </c>
      <c r="H19" s="7" t="n">
        <v>20.1</v>
      </c>
      <c r="I19" s="7" t="n">
        <v>39.4</v>
      </c>
      <c r="J19" s="7" t="n">
        <v>32.9</v>
      </c>
      <c r="K19" s="7" t="n">
        <v>29.95</v>
      </c>
    </row>
    <row r="20" customFormat="false" ht="15" hidden="false" customHeight="false" outlineLevel="0" collapsed="false">
      <c r="A20" s="4" t="n">
        <v>19</v>
      </c>
      <c r="B20" s="8" t="s">
        <v>49</v>
      </c>
      <c r="C20" s="9" t="s">
        <v>50</v>
      </c>
      <c r="D20" s="4" t="n">
        <f aca="false">RANK(E20,E$2:E$26)</f>
        <v>25</v>
      </c>
      <c r="E20" s="6" t="n">
        <v>31.3700000055556</v>
      </c>
      <c r="F20" s="7" t="n">
        <v>28.32</v>
      </c>
      <c r="G20" s="7" t="n">
        <v>38.0666667</v>
      </c>
      <c r="H20" s="7" t="n">
        <v>19.8333333333333</v>
      </c>
      <c r="I20" s="7" t="n">
        <v>40.3</v>
      </c>
      <c r="J20" s="7" t="n">
        <v>31</v>
      </c>
      <c r="K20" s="7" t="n">
        <v>30.7</v>
      </c>
    </row>
    <row r="21" customFormat="false" ht="15" hidden="false" customHeight="false" outlineLevel="0" collapsed="false">
      <c r="A21" s="4" t="n">
        <v>20</v>
      </c>
      <c r="B21" s="8" t="s">
        <v>51</v>
      </c>
      <c r="C21" s="9" t="s">
        <v>52</v>
      </c>
      <c r="D21" s="4" t="n">
        <f aca="false">RANK(E21,E$2:E$26)</f>
        <v>15</v>
      </c>
      <c r="E21" s="6" t="n">
        <v>34.2983277777778</v>
      </c>
      <c r="F21" s="7" t="n">
        <v>28.8733</v>
      </c>
      <c r="G21" s="7" t="n">
        <v>36.95</v>
      </c>
      <c r="H21" s="7" t="n">
        <v>34.2666666666667</v>
      </c>
      <c r="I21" s="7" t="n">
        <v>41.3</v>
      </c>
      <c r="J21" s="7" t="n">
        <v>33.5</v>
      </c>
      <c r="K21" s="7" t="n">
        <v>30.9</v>
      </c>
    </row>
    <row r="22" customFormat="false" ht="15" hidden="false" customHeight="false" outlineLevel="0" collapsed="false">
      <c r="A22" s="4" t="n">
        <v>21</v>
      </c>
      <c r="B22" s="8" t="s">
        <v>53</v>
      </c>
      <c r="C22" s="9" t="s">
        <v>54</v>
      </c>
      <c r="D22" s="4" t="n">
        <f aca="false">RANK(E22,E$2:E$26)</f>
        <v>22</v>
      </c>
      <c r="E22" s="6" t="n">
        <v>33.00445</v>
      </c>
      <c r="F22" s="7" t="n">
        <v>30.1767</v>
      </c>
      <c r="G22" s="7" t="n">
        <v>35.55</v>
      </c>
      <c r="H22" s="7" t="n">
        <v>31.4</v>
      </c>
      <c r="I22" s="7" t="n">
        <v>37.4</v>
      </c>
      <c r="J22" s="7" t="n">
        <v>31.9</v>
      </c>
      <c r="K22" s="7" t="n">
        <v>31.6</v>
      </c>
    </row>
    <row r="23" customFormat="false" ht="15" hidden="false" customHeight="false" outlineLevel="0" collapsed="false">
      <c r="A23" s="4" t="n">
        <v>22</v>
      </c>
      <c r="B23" s="8" t="s">
        <v>55</v>
      </c>
      <c r="C23" s="9" t="s">
        <v>56</v>
      </c>
      <c r="D23" s="4" t="n">
        <f aca="false">RANK(E23,E$2:E$26)</f>
        <v>5</v>
      </c>
      <c r="E23" s="6" t="n">
        <v>35.8277722222222</v>
      </c>
      <c r="F23" s="7" t="n">
        <v>32.6833</v>
      </c>
      <c r="G23" s="7" t="n">
        <v>36.6</v>
      </c>
      <c r="H23" s="7" t="n">
        <v>35.8333333333333</v>
      </c>
      <c r="I23" s="7" t="n">
        <v>42.1</v>
      </c>
      <c r="J23" s="7" t="n">
        <v>34.6</v>
      </c>
      <c r="K23" s="7" t="n">
        <v>33.15</v>
      </c>
    </row>
    <row r="24" customFormat="false" ht="15" hidden="false" customHeight="false" outlineLevel="0" collapsed="false">
      <c r="A24" s="4" t="n">
        <v>23</v>
      </c>
      <c r="B24" s="8" t="s">
        <v>57</v>
      </c>
      <c r="C24" s="9" t="s">
        <v>58</v>
      </c>
      <c r="D24" s="4" t="n">
        <f aca="false">RANK(E24,E$2:E$26)</f>
        <v>20</v>
      </c>
      <c r="E24" s="6" t="n">
        <v>33.5611055555556</v>
      </c>
      <c r="F24" s="7" t="n">
        <v>29.4333</v>
      </c>
      <c r="G24" s="7" t="n">
        <v>35.95</v>
      </c>
      <c r="H24" s="7" t="n">
        <v>30.6333333333333</v>
      </c>
      <c r="I24" s="7" t="n">
        <v>41.8</v>
      </c>
      <c r="J24" s="7" t="n">
        <v>33.7</v>
      </c>
      <c r="K24" s="7" t="n">
        <v>29.85</v>
      </c>
    </row>
    <row r="25" customFormat="false" ht="15" hidden="false" customHeight="false" outlineLevel="0" collapsed="false">
      <c r="A25" s="4" t="n">
        <v>24</v>
      </c>
      <c r="B25" s="8" t="s">
        <v>59</v>
      </c>
      <c r="C25" s="9" t="s">
        <v>60</v>
      </c>
      <c r="D25" s="4" t="n">
        <f aca="false">RANK(E25,E$2:E$26)</f>
        <v>17</v>
      </c>
      <c r="E25" s="6" t="n">
        <v>34.0833388888889</v>
      </c>
      <c r="F25" s="7" t="n">
        <v>33.5167</v>
      </c>
      <c r="G25" s="7" t="n">
        <v>36</v>
      </c>
      <c r="H25" s="7" t="n">
        <v>23.5333333333333</v>
      </c>
      <c r="I25" s="7" t="n">
        <v>42.7</v>
      </c>
      <c r="J25" s="7" t="n">
        <v>35.1</v>
      </c>
      <c r="K25" s="7" t="n">
        <v>33.65</v>
      </c>
    </row>
    <row r="26" customFormat="false" ht="15" hidden="false" customHeight="false" outlineLevel="0" collapsed="false">
      <c r="A26" s="4" t="n">
        <v>25</v>
      </c>
      <c r="B26" s="8" t="s">
        <v>61</v>
      </c>
      <c r="C26" s="0" t="s">
        <v>62</v>
      </c>
      <c r="D26" s="4" t="n">
        <f aca="false">RANK(E26,E$2:E$26)</f>
        <v>12</v>
      </c>
      <c r="E26" s="7" t="n">
        <v>35.0555555555556</v>
      </c>
      <c r="F26" s="7" t="n">
        <v>31.85</v>
      </c>
      <c r="G26" s="7" t="n">
        <v>37.35</v>
      </c>
      <c r="H26" s="7" t="n">
        <v>34.0333333333333</v>
      </c>
      <c r="I26" s="7" t="n">
        <v>42.1</v>
      </c>
      <c r="J26" s="7" t="n">
        <v>33.5</v>
      </c>
      <c r="K26" s="7" t="n">
        <v>31.5</v>
      </c>
    </row>
    <row r="27" customFormat="false" ht="15" hidden="false" customHeight="false" outlineLevel="0" collapsed="false">
      <c r="D27" s="23" t="s">
        <v>63</v>
      </c>
      <c r="E27" s="12" t="n">
        <v>34.56975</v>
      </c>
      <c r="F27" s="12" t="n">
        <v>31.721196</v>
      </c>
      <c r="G27" s="12" t="n">
        <v>36.326087</v>
      </c>
      <c r="H27" s="12" t="n">
        <v>32.2013333333333</v>
      </c>
      <c r="I27" s="12" t="n">
        <v>41.454</v>
      </c>
      <c r="J27" s="12" t="n">
        <v>33.71813</v>
      </c>
      <c r="K27" s="14" t="n">
        <v>31.92</v>
      </c>
    </row>
    <row r="28" customFormat="false" ht="15" hidden="false" customHeight="false" outlineLevel="0" collapsed="false">
      <c r="D28" s="24" t="s">
        <v>64</v>
      </c>
      <c r="E28" s="16" t="n">
        <v>7.099348</v>
      </c>
      <c r="F28" s="16" t="n">
        <v>17.3</v>
      </c>
      <c r="G28" s="16" t="n">
        <v>4.6196658</v>
      </c>
      <c r="H28" s="16" t="s">
        <v>65</v>
      </c>
      <c r="I28" s="16" t="n">
        <v>1.88991</v>
      </c>
      <c r="J28" s="16" t="n">
        <v>2.32362</v>
      </c>
      <c r="K28" s="18" t="n">
        <v>1.51</v>
      </c>
    </row>
    <row r="29" customFormat="false" ht="15" hidden="false" customHeight="false" outlineLevel="0" collapsed="false">
      <c r="D29" s="25" t="s">
        <v>66</v>
      </c>
      <c r="E29" s="20" t="n">
        <v>2.80546</v>
      </c>
      <c r="F29" s="20" t="n">
        <v>2.6940230307</v>
      </c>
      <c r="G29" s="20" t="n">
        <v>3.3890802</v>
      </c>
      <c r="H29" s="20" t="s">
        <v>65</v>
      </c>
      <c r="I29" s="20" t="n">
        <v>1.95247</v>
      </c>
      <c r="J29" s="20" t="n">
        <v>1.97253</v>
      </c>
      <c r="K29" s="22" t="n">
        <v>1.006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N20" activeCellId="0" sqref="N20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5.42"/>
    <col collapsed="false" customWidth="true" hidden="false" outlineLevel="0" max="3" min="3" style="0" width="10.71"/>
    <col collapsed="false" customWidth="true" hidden="false" outlineLevel="0" max="5" min="5" style="0" width="18.85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6" t="s">
        <v>69</v>
      </c>
      <c r="E1" s="26" t="s">
        <v>70</v>
      </c>
      <c r="F1" s="27" t="s">
        <v>7</v>
      </c>
      <c r="G1" s="28" t="s">
        <v>71</v>
      </c>
      <c r="H1" s="27" t="s">
        <v>8</v>
      </c>
      <c r="I1" s="27" t="s">
        <v>9</v>
      </c>
      <c r="J1" s="27" t="s">
        <v>72</v>
      </c>
      <c r="K1" s="27" t="s">
        <v>12</v>
      </c>
    </row>
    <row r="2" customFormat="false" ht="15" hidden="false" customHeight="false" outlineLevel="0" collapsed="false">
      <c r="A2" s="4" t="n">
        <v>1</v>
      </c>
      <c r="B2" s="5" t="s">
        <v>13</v>
      </c>
      <c r="C2" s="5" t="s">
        <v>14</v>
      </c>
      <c r="D2" s="29" t="n">
        <f aca="false">RANK(E2,E$2:E$26,1)</f>
        <v>12</v>
      </c>
      <c r="E2" s="30" t="n">
        <v>97.1666666666667</v>
      </c>
      <c r="F2" s="27" t="n">
        <v>107.5</v>
      </c>
      <c r="G2" s="27" t="n">
        <v>100</v>
      </c>
      <c r="H2" s="27" t="n">
        <v>96</v>
      </c>
      <c r="I2" s="27" t="n">
        <v>105</v>
      </c>
      <c r="J2" s="27" t="n">
        <v>91.5</v>
      </c>
      <c r="K2" s="27" t="n">
        <v>83</v>
      </c>
    </row>
    <row r="3" customFormat="false" ht="15" hidden="false" customHeight="false" outlineLevel="0" collapsed="false">
      <c r="A3" s="4" t="n">
        <v>2</v>
      </c>
      <c r="B3" s="8" t="s">
        <v>15</v>
      </c>
      <c r="C3" s="9" t="s">
        <v>16</v>
      </c>
      <c r="D3" s="29" t="n">
        <f aca="false">RANK(E3,E$2:E$26,1)</f>
        <v>5</v>
      </c>
      <c r="E3" s="30" t="n">
        <v>95.2083333333333</v>
      </c>
      <c r="F3" s="27" t="n">
        <v>104</v>
      </c>
      <c r="G3" s="27" t="n">
        <v>98</v>
      </c>
      <c r="H3" s="27" t="n">
        <v>94</v>
      </c>
      <c r="I3" s="27" t="n">
        <v>103.5</v>
      </c>
      <c r="J3" s="27" t="n">
        <v>89.75</v>
      </c>
      <c r="K3" s="27" t="n">
        <v>82</v>
      </c>
    </row>
    <row r="4" customFormat="false" ht="15" hidden="false" customHeight="false" outlineLevel="0" collapsed="false">
      <c r="A4" s="4" t="n">
        <v>3</v>
      </c>
      <c r="B4" s="10" t="s">
        <v>17</v>
      </c>
      <c r="C4" s="5" t="s">
        <v>18</v>
      </c>
      <c r="D4" s="29" t="n">
        <f aca="false">RANK(E4,E$2:E$26,1)</f>
        <v>16</v>
      </c>
      <c r="E4" s="30" t="n">
        <v>97.5416666666667</v>
      </c>
      <c r="F4" s="27" t="n">
        <v>106.5</v>
      </c>
      <c r="G4" s="27" t="n">
        <v>99</v>
      </c>
      <c r="H4" s="27" t="n">
        <v>96</v>
      </c>
      <c r="I4" s="27" t="n">
        <v>106.5</v>
      </c>
      <c r="J4" s="27" t="n">
        <v>93.75</v>
      </c>
      <c r="K4" s="27" t="n">
        <v>83.5</v>
      </c>
    </row>
    <row r="5" customFormat="false" ht="15" hidden="false" customHeight="false" outlineLevel="0" collapsed="false">
      <c r="A5" s="4" t="n">
        <v>4</v>
      </c>
      <c r="B5" s="10" t="s">
        <v>19</v>
      </c>
      <c r="C5" s="5" t="s">
        <v>20</v>
      </c>
      <c r="D5" s="29" t="n">
        <f aca="false">RANK(E5,E$2:E$26,1)</f>
        <v>12</v>
      </c>
      <c r="E5" s="30" t="n">
        <v>97.1666666666667</v>
      </c>
      <c r="F5" s="27" t="n">
        <v>110.5</v>
      </c>
      <c r="G5" s="27" t="n">
        <v>96</v>
      </c>
      <c r="H5" s="27" t="n">
        <v>92</v>
      </c>
      <c r="I5" s="27" t="n">
        <v>108</v>
      </c>
      <c r="J5" s="27" t="n">
        <v>92</v>
      </c>
      <c r="K5" s="27" t="n">
        <v>84.5</v>
      </c>
    </row>
    <row r="6" customFormat="false" ht="15" hidden="false" customHeight="false" outlineLevel="0" collapsed="false">
      <c r="A6" s="4" t="n">
        <v>5</v>
      </c>
      <c r="B6" s="8" t="s">
        <v>21</v>
      </c>
      <c r="C6" s="9" t="s">
        <v>22</v>
      </c>
      <c r="D6" s="29" t="n">
        <f aca="false">RANK(E6,E$2:E$26,1)</f>
        <v>9</v>
      </c>
      <c r="E6" s="30" t="n">
        <v>96.5</v>
      </c>
      <c r="F6" s="27" t="n">
        <v>102</v>
      </c>
      <c r="G6" s="27" t="n">
        <v>101</v>
      </c>
      <c r="H6" s="27" t="n">
        <v>100</v>
      </c>
      <c r="I6" s="27" t="n">
        <v>103.5</v>
      </c>
      <c r="J6" s="27" t="n">
        <v>91.5</v>
      </c>
      <c r="K6" s="27" t="n">
        <v>81</v>
      </c>
    </row>
    <row r="7" customFormat="false" ht="15" hidden="false" customHeight="false" outlineLevel="0" collapsed="false">
      <c r="A7" s="4" t="n">
        <v>6</v>
      </c>
      <c r="B7" s="8" t="s">
        <v>23</v>
      </c>
      <c r="C7" s="9" t="s">
        <v>24</v>
      </c>
      <c r="D7" s="29" t="n">
        <f aca="false">RANK(E7,E$2:E$26,1)</f>
        <v>7</v>
      </c>
      <c r="E7" s="30" t="n">
        <v>95.6666666666667</v>
      </c>
      <c r="F7" s="27" t="n">
        <v>103</v>
      </c>
      <c r="G7" s="27" t="n">
        <v>101</v>
      </c>
      <c r="H7" s="27" t="n">
        <v>99</v>
      </c>
      <c r="I7" s="27" t="n">
        <v>100</v>
      </c>
      <c r="J7" s="27" t="n">
        <v>89.5</v>
      </c>
      <c r="K7" s="27" t="n">
        <v>81.5</v>
      </c>
    </row>
    <row r="8" customFormat="false" ht="15" hidden="false" customHeight="false" outlineLevel="0" collapsed="false">
      <c r="A8" s="4" t="n">
        <v>7</v>
      </c>
      <c r="B8" s="8" t="s">
        <v>25</v>
      </c>
      <c r="C8" s="9" t="s">
        <v>26</v>
      </c>
      <c r="D8" s="29" t="n">
        <f aca="false">RANK(E8,E$2:E$26,1)</f>
        <v>25</v>
      </c>
      <c r="E8" s="30" t="n">
        <v>102.638888888889</v>
      </c>
      <c r="F8" s="27" t="n">
        <v>109.5</v>
      </c>
      <c r="G8" s="27" t="n">
        <v>102</v>
      </c>
      <c r="H8" s="27" t="n">
        <v>103</v>
      </c>
      <c r="I8" s="27" t="n">
        <v>113</v>
      </c>
      <c r="J8" s="27" t="n">
        <v>99.3333333333333</v>
      </c>
      <c r="K8" s="27" t="n">
        <v>89</v>
      </c>
    </row>
    <row r="9" customFormat="false" ht="15" hidden="false" customHeight="false" outlineLevel="0" collapsed="false">
      <c r="A9" s="4" t="n">
        <v>8</v>
      </c>
      <c r="B9" s="8" t="s">
        <v>27</v>
      </c>
      <c r="C9" s="9" t="s">
        <v>28</v>
      </c>
      <c r="D9" s="29" t="n">
        <f aca="false">RANK(E9,E$2:E$26,1)</f>
        <v>14</v>
      </c>
      <c r="E9" s="30" t="n">
        <v>97.25</v>
      </c>
      <c r="F9" s="27" t="n">
        <v>105.5</v>
      </c>
      <c r="G9" s="27" t="n">
        <v>97</v>
      </c>
      <c r="H9" s="27" t="n">
        <v>98</v>
      </c>
      <c r="I9" s="27" t="n">
        <v>106</v>
      </c>
      <c r="J9" s="27" t="n">
        <v>93.5</v>
      </c>
      <c r="K9" s="27" t="n">
        <v>83.5</v>
      </c>
    </row>
    <row r="10" customFormat="false" ht="15" hidden="false" customHeight="false" outlineLevel="0" collapsed="false">
      <c r="A10" s="4" t="n">
        <v>9</v>
      </c>
      <c r="B10" s="8" t="s">
        <v>29</v>
      </c>
      <c r="C10" s="9" t="s">
        <v>30</v>
      </c>
      <c r="D10" s="29" t="n">
        <f aca="false">RANK(E10,E$2:E$26,1)</f>
        <v>20</v>
      </c>
      <c r="E10" s="30" t="n">
        <v>100.041666666667</v>
      </c>
      <c r="F10" s="27" t="n">
        <v>112</v>
      </c>
      <c r="G10" s="27" t="n">
        <v>98</v>
      </c>
      <c r="H10" s="27" t="n">
        <v>100</v>
      </c>
      <c r="I10" s="27" t="n">
        <v>111</v>
      </c>
      <c r="J10" s="27" t="n">
        <v>96.25</v>
      </c>
      <c r="K10" s="27" t="n">
        <v>83</v>
      </c>
    </row>
    <row r="11" customFormat="false" ht="15" hidden="false" customHeight="false" outlineLevel="0" collapsed="false">
      <c r="A11" s="4" t="n">
        <v>10</v>
      </c>
      <c r="B11" s="8" t="s">
        <v>31</v>
      </c>
      <c r="C11" s="9" t="s">
        <v>32</v>
      </c>
      <c r="D11" s="29" t="n">
        <f aca="false">RANK(E11,E$2:E$26,1)</f>
        <v>24</v>
      </c>
      <c r="E11" s="30" t="n">
        <v>100.5</v>
      </c>
      <c r="F11" s="27" t="n">
        <v>109.5</v>
      </c>
      <c r="G11" s="27" t="n">
        <v>102</v>
      </c>
      <c r="H11" s="27" t="n">
        <v>100</v>
      </c>
      <c r="I11" s="27" t="n">
        <v>112</v>
      </c>
      <c r="J11" s="27" t="n">
        <v>96</v>
      </c>
      <c r="K11" s="27" t="n">
        <v>83.5</v>
      </c>
    </row>
    <row r="12" customFormat="false" ht="15" hidden="false" customHeight="false" outlineLevel="0" collapsed="false">
      <c r="A12" s="4" t="n">
        <v>11</v>
      </c>
      <c r="B12" s="8" t="s">
        <v>33</v>
      </c>
      <c r="C12" s="9" t="s">
        <v>34</v>
      </c>
      <c r="D12" s="29" t="n">
        <f aca="false">RANK(E12,E$2:E$26,1)</f>
        <v>17</v>
      </c>
      <c r="E12" s="30" t="n">
        <v>97.9583333333333</v>
      </c>
      <c r="F12" s="27" t="n">
        <v>105.5</v>
      </c>
      <c r="G12" s="27" t="n">
        <v>100</v>
      </c>
      <c r="H12" s="27" t="n">
        <v>99</v>
      </c>
      <c r="I12" s="27" t="n">
        <v>110</v>
      </c>
      <c r="J12" s="27" t="n">
        <v>91.75</v>
      </c>
      <c r="K12" s="27" t="n">
        <v>81.5</v>
      </c>
    </row>
    <row r="13" customFormat="false" ht="15" hidden="false" customHeight="false" outlineLevel="0" collapsed="false">
      <c r="A13" s="4" t="n">
        <v>12</v>
      </c>
      <c r="B13" s="8" t="s">
        <v>35</v>
      </c>
      <c r="C13" s="9" t="s">
        <v>36</v>
      </c>
      <c r="D13" s="29" t="n">
        <f aca="false">RANK(E13,E$2:E$26,1)</f>
        <v>21</v>
      </c>
      <c r="E13" s="30" t="n">
        <v>100.125</v>
      </c>
      <c r="F13" s="27" t="n">
        <v>109</v>
      </c>
      <c r="G13" s="27" t="n">
        <v>102</v>
      </c>
      <c r="H13" s="27" t="n">
        <v>101</v>
      </c>
      <c r="I13" s="27" t="n">
        <v>107.5</v>
      </c>
      <c r="J13" s="27" t="n">
        <v>96.25</v>
      </c>
      <c r="K13" s="27" t="n">
        <v>85</v>
      </c>
    </row>
    <row r="14" customFormat="false" ht="15" hidden="false" customHeight="false" outlineLevel="0" collapsed="false">
      <c r="A14" s="4" t="n">
        <v>13</v>
      </c>
      <c r="B14" s="8" t="s">
        <v>37</v>
      </c>
      <c r="C14" s="9" t="s">
        <v>38</v>
      </c>
      <c r="D14" s="29" t="n">
        <f aca="false">RANK(E14,E$2:E$26,1)</f>
        <v>8</v>
      </c>
      <c r="E14" s="30" t="n">
        <v>95.8333333333333</v>
      </c>
      <c r="F14" s="27" t="n">
        <v>107</v>
      </c>
      <c r="G14" s="27" t="n">
        <v>96</v>
      </c>
      <c r="H14" s="27" t="n">
        <v>92</v>
      </c>
      <c r="I14" s="27" t="n">
        <v>107</v>
      </c>
      <c r="J14" s="27" t="n">
        <v>90.5</v>
      </c>
      <c r="K14" s="27" t="n">
        <v>82.5</v>
      </c>
    </row>
    <row r="15" customFormat="false" ht="15" hidden="false" customHeight="false" outlineLevel="0" collapsed="false">
      <c r="A15" s="4" t="n">
        <v>14</v>
      </c>
      <c r="B15" s="8" t="s">
        <v>39</v>
      </c>
      <c r="C15" s="9" t="s">
        <v>40</v>
      </c>
      <c r="D15" s="29" t="n">
        <f aca="false">RANK(E15,E$2:E$26,1)</f>
        <v>19</v>
      </c>
      <c r="E15" s="30" t="n">
        <v>99.5833333333333</v>
      </c>
      <c r="F15" s="27" t="n">
        <v>108.5</v>
      </c>
      <c r="G15" s="27" t="n">
        <v>101</v>
      </c>
      <c r="H15" s="27" t="n">
        <v>100</v>
      </c>
      <c r="I15" s="27" t="n">
        <v>106.5</v>
      </c>
      <c r="J15" s="27" t="n">
        <v>94.5</v>
      </c>
      <c r="K15" s="27" t="n">
        <v>87</v>
      </c>
    </row>
    <row r="16" customFormat="false" ht="15" hidden="false" customHeight="false" outlineLevel="0" collapsed="false">
      <c r="A16" s="4" t="n">
        <v>15</v>
      </c>
      <c r="B16" s="8" t="s">
        <v>41</v>
      </c>
      <c r="C16" s="9" t="s">
        <v>42</v>
      </c>
      <c r="D16" s="29" t="n">
        <f aca="false">RANK(E16,E$2:E$26,1)</f>
        <v>18</v>
      </c>
      <c r="E16" s="30" t="n">
        <v>98.5</v>
      </c>
      <c r="F16" s="27" t="n">
        <v>106.5</v>
      </c>
      <c r="G16" s="27" t="n">
        <v>99</v>
      </c>
      <c r="H16" s="27" t="n">
        <v>100</v>
      </c>
      <c r="I16" s="27" t="n">
        <v>108</v>
      </c>
      <c r="J16" s="27" t="n">
        <v>93.5</v>
      </c>
      <c r="K16" s="27" t="n">
        <v>84</v>
      </c>
    </row>
    <row r="17" customFormat="false" ht="15" hidden="false" customHeight="false" outlineLevel="0" collapsed="false">
      <c r="A17" s="4" t="n">
        <v>16</v>
      </c>
      <c r="B17" s="8" t="s">
        <v>43</v>
      </c>
      <c r="C17" s="9" t="s">
        <v>44</v>
      </c>
      <c r="D17" s="29" t="n">
        <f aca="false">RANK(E17,E$2:E$26,1)</f>
        <v>4</v>
      </c>
      <c r="E17" s="30" t="n">
        <v>94.7083333333333</v>
      </c>
      <c r="F17" s="27" t="n">
        <v>104.5</v>
      </c>
      <c r="G17" s="27" t="n">
        <v>96</v>
      </c>
      <c r="H17" s="27" t="n">
        <v>91</v>
      </c>
      <c r="I17" s="27" t="n">
        <v>104</v>
      </c>
      <c r="J17" s="27" t="n">
        <v>89.25</v>
      </c>
      <c r="K17" s="27" t="n">
        <v>83.5</v>
      </c>
    </row>
    <row r="18" customFormat="false" ht="15" hidden="false" customHeight="false" outlineLevel="0" collapsed="false">
      <c r="A18" s="4" t="n">
        <v>17</v>
      </c>
      <c r="B18" s="8" t="s">
        <v>45</v>
      </c>
      <c r="C18" s="9" t="s">
        <v>46</v>
      </c>
      <c r="D18" s="29" t="n">
        <f aca="false">RANK(E18,E$2:E$26,1)</f>
        <v>23</v>
      </c>
      <c r="E18" s="30" t="n">
        <v>100.458333333333</v>
      </c>
      <c r="F18" s="27" t="n">
        <v>113</v>
      </c>
      <c r="G18" s="27" t="n">
        <v>100</v>
      </c>
      <c r="H18" s="27" t="n">
        <v>100</v>
      </c>
      <c r="I18" s="27" t="n">
        <v>112</v>
      </c>
      <c r="J18" s="27" t="n">
        <v>95.75</v>
      </c>
      <c r="K18" s="27" t="n">
        <v>82</v>
      </c>
    </row>
    <row r="19" customFormat="false" ht="15" hidden="false" customHeight="false" outlineLevel="0" collapsed="false">
      <c r="A19" s="4" t="n">
        <v>18</v>
      </c>
      <c r="B19" s="8" t="s">
        <v>47</v>
      </c>
      <c r="C19" s="9" t="s">
        <v>48</v>
      </c>
      <c r="D19" s="29" t="n">
        <f aca="false">RANK(E19,E$2:E$26,1)</f>
        <v>3</v>
      </c>
      <c r="E19" s="30" t="n">
        <v>94.6666666666667</v>
      </c>
      <c r="F19" s="27" t="n">
        <v>104</v>
      </c>
      <c r="G19" s="27" t="n">
        <v>99</v>
      </c>
      <c r="H19" s="27" t="n">
        <v>92</v>
      </c>
      <c r="I19" s="27" t="n">
        <v>103</v>
      </c>
      <c r="J19" s="27" t="n">
        <v>89</v>
      </c>
      <c r="K19" s="27" t="n">
        <v>81</v>
      </c>
    </row>
    <row r="20" customFormat="false" ht="15" hidden="false" customHeight="false" outlineLevel="0" collapsed="false">
      <c r="A20" s="4" t="n">
        <v>19</v>
      </c>
      <c r="B20" s="8" t="s">
        <v>49</v>
      </c>
      <c r="C20" s="9" t="s">
        <v>50</v>
      </c>
      <c r="D20" s="29" t="n">
        <f aca="false">RANK(E20,E$2:E$26,1)</f>
        <v>15</v>
      </c>
      <c r="E20" s="30" t="n">
        <v>97.375</v>
      </c>
      <c r="F20" s="27" t="n">
        <v>108.5</v>
      </c>
      <c r="G20" s="27" t="n">
        <v>96</v>
      </c>
      <c r="H20" s="27" t="n">
        <v>98</v>
      </c>
      <c r="I20" s="27" t="n">
        <v>108.5</v>
      </c>
      <c r="J20" s="27" t="n">
        <v>91.25</v>
      </c>
      <c r="K20" s="27" t="n">
        <v>82</v>
      </c>
    </row>
    <row r="21" customFormat="false" ht="15" hidden="false" customHeight="false" outlineLevel="0" collapsed="false">
      <c r="A21" s="4" t="n">
        <v>20</v>
      </c>
      <c r="B21" s="8" t="s">
        <v>51</v>
      </c>
      <c r="C21" s="9" t="s">
        <v>52</v>
      </c>
      <c r="D21" s="29" t="n">
        <f aca="false">RANK(E21,E$2:E$26,1)</f>
        <v>10</v>
      </c>
      <c r="E21" s="30" t="n">
        <v>96.9166666666667</v>
      </c>
      <c r="F21" s="27" t="n">
        <v>107</v>
      </c>
      <c r="G21" s="27" t="n">
        <v>99</v>
      </c>
      <c r="H21" s="27" t="n">
        <v>95</v>
      </c>
      <c r="I21" s="27" t="n">
        <v>106.5</v>
      </c>
      <c r="J21" s="27" t="n">
        <v>91</v>
      </c>
      <c r="K21" s="27" t="n">
        <v>83</v>
      </c>
    </row>
    <row r="22" customFormat="false" ht="15" hidden="false" customHeight="false" outlineLevel="0" collapsed="false">
      <c r="A22" s="4" t="n">
        <v>21</v>
      </c>
      <c r="B22" s="8" t="s">
        <v>53</v>
      </c>
      <c r="C22" s="9" t="s">
        <v>54</v>
      </c>
      <c r="D22" s="29" t="n">
        <f aca="false">RANK(E22,E$2:E$26,1)</f>
        <v>21</v>
      </c>
      <c r="E22" s="30" t="n">
        <v>100.125</v>
      </c>
      <c r="F22" s="27" t="n">
        <v>108</v>
      </c>
      <c r="G22" s="27" t="n">
        <v>102</v>
      </c>
      <c r="H22" s="27" t="n">
        <v>99</v>
      </c>
      <c r="I22" s="27" t="n">
        <v>112</v>
      </c>
      <c r="J22" s="27" t="n">
        <v>95.25</v>
      </c>
      <c r="K22" s="27" t="n">
        <v>84.5</v>
      </c>
    </row>
    <row r="23" customFormat="false" ht="15" hidden="false" customHeight="false" outlineLevel="0" collapsed="false">
      <c r="A23" s="4" t="n">
        <v>22</v>
      </c>
      <c r="B23" s="8" t="s">
        <v>55</v>
      </c>
      <c r="C23" s="9" t="s">
        <v>56</v>
      </c>
      <c r="D23" s="29" t="n">
        <f aca="false">RANK(E23,E$2:E$26,1)</f>
        <v>2</v>
      </c>
      <c r="E23" s="30" t="n">
        <v>94.4583333333333</v>
      </c>
      <c r="F23" s="27" t="n">
        <v>103</v>
      </c>
      <c r="G23" s="27" t="n">
        <v>98</v>
      </c>
      <c r="H23" s="27" t="n">
        <v>91</v>
      </c>
      <c r="I23" s="27" t="n">
        <v>103.5</v>
      </c>
      <c r="J23" s="27" t="n">
        <v>89.75</v>
      </c>
      <c r="K23" s="27" t="n">
        <v>81.5</v>
      </c>
    </row>
    <row r="24" customFormat="false" ht="15" hidden="false" customHeight="false" outlineLevel="0" collapsed="false">
      <c r="A24" s="4" t="n">
        <v>23</v>
      </c>
      <c r="B24" s="8" t="s">
        <v>57</v>
      </c>
      <c r="C24" s="9" t="s">
        <v>58</v>
      </c>
      <c r="D24" s="29" t="n">
        <f aca="false">RANK(E24,E$2:E$26,1)</f>
        <v>6</v>
      </c>
      <c r="E24" s="30" t="n">
        <v>95.625</v>
      </c>
      <c r="F24" s="27" t="n">
        <v>106.5</v>
      </c>
      <c r="G24" s="27" t="n">
        <v>95</v>
      </c>
      <c r="H24" s="27" t="n">
        <v>92</v>
      </c>
      <c r="I24" s="27" t="n">
        <v>108</v>
      </c>
      <c r="J24" s="27" t="n">
        <v>89.75</v>
      </c>
      <c r="K24" s="27" t="n">
        <v>82.5</v>
      </c>
    </row>
    <row r="25" customFormat="false" ht="15" hidden="false" customHeight="false" outlineLevel="0" collapsed="false">
      <c r="A25" s="4" t="n">
        <v>24</v>
      </c>
      <c r="B25" s="8" t="s">
        <v>59</v>
      </c>
      <c r="C25" s="9" t="s">
        <v>60</v>
      </c>
      <c r="D25" s="29" t="n">
        <f aca="false">RANK(E25,E$2:E$26,1)</f>
        <v>10</v>
      </c>
      <c r="E25" s="30" t="n">
        <v>96.9166666666667</v>
      </c>
      <c r="F25" s="27" t="n">
        <v>105.5</v>
      </c>
      <c r="G25" s="27" t="n">
        <v>99</v>
      </c>
      <c r="H25" s="27" t="n">
        <v>94</v>
      </c>
      <c r="I25" s="27" t="n">
        <v>106.5</v>
      </c>
      <c r="J25" s="27" t="n">
        <v>93</v>
      </c>
      <c r="K25" s="27" t="n">
        <v>83.5</v>
      </c>
    </row>
    <row r="26" customFormat="false" ht="15" hidden="false" customHeight="false" outlineLevel="0" collapsed="false">
      <c r="A26" s="4" t="n">
        <v>25</v>
      </c>
      <c r="B26" s="8" t="s">
        <v>61</v>
      </c>
      <c r="C26" s="0" t="s">
        <v>62</v>
      </c>
      <c r="D26" s="29" t="n">
        <f aca="false">RANK(E26,E$2:E$26,1)</f>
        <v>1</v>
      </c>
      <c r="E26" s="27" t="n">
        <v>92.9583333333333</v>
      </c>
      <c r="F26" s="27" t="n">
        <v>102.5</v>
      </c>
      <c r="G26" s="27" t="n">
        <v>95</v>
      </c>
      <c r="H26" s="27" t="n">
        <v>90</v>
      </c>
      <c r="I26" s="27" t="n">
        <v>101</v>
      </c>
      <c r="J26" s="27" t="n">
        <v>89.25</v>
      </c>
      <c r="K26" s="27" t="n">
        <v>80</v>
      </c>
    </row>
    <row r="27" customFormat="false" ht="15" hidden="false" customHeight="false" outlineLevel="0" collapsed="false">
      <c r="D27" s="31" t="s">
        <v>63</v>
      </c>
      <c r="E27" s="32" t="n">
        <v>97.43556</v>
      </c>
      <c r="F27" s="32" t="n">
        <v>106.76</v>
      </c>
      <c r="G27" s="32" t="n">
        <v>98.84</v>
      </c>
      <c r="H27" s="32" t="n">
        <v>96.48</v>
      </c>
      <c r="I27" s="32" t="n">
        <v>106.9</v>
      </c>
      <c r="J27" s="32" t="n">
        <v>92.44</v>
      </c>
      <c r="K27" s="33" t="n">
        <v>83.12</v>
      </c>
    </row>
    <row r="28" customFormat="false" ht="15" hidden="false" customHeight="false" outlineLevel="0" collapsed="false">
      <c r="D28" s="34" t="s">
        <v>64</v>
      </c>
      <c r="E28" s="35" t="n">
        <v>2.018948</v>
      </c>
      <c r="F28" s="35" t="n">
        <v>1.361144</v>
      </c>
      <c r="G28" s="35" t="s">
        <v>65</v>
      </c>
      <c r="H28" s="35" t="s">
        <v>65</v>
      </c>
      <c r="I28" s="35" t="n">
        <v>1.76749</v>
      </c>
      <c r="J28" s="35" t="n">
        <v>2.21</v>
      </c>
      <c r="K28" s="36" t="n">
        <v>1.24</v>
      </c>
    </row>
    <row r="29" customFormat="false" ht="15" hidden="false" customHeight="false" outlineLevel="0" collapsed="false">
      <c r="D29" s="37" t="s">
        <v>66</v>
      </c>
      <c r="E29" s="38" t="n">
        <v>2.248701</v>
      </c>
      <c r="F29" s="38" t="n">
        <v>2.934711</v>
      </c>
      <c r="G29" s="38" t="s">
        <v>65</v>
      </c>
      <c r="H29" s="38" t="s">
        <v>65</v>
      </c>
      <c r="I29" s="38" t="n">
        <v>4.7088</v>
      </c>
      <c r="J29" s="38" t="n">
        <v>2.9</v>
      </c>
      <c r="K29" s="39" t="n">
        <v>2.39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K2" activeCellId="0" sqref="K2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26"/>
    <col collapsed="false" customWidth="true" hidden="false" outlineLevel="0" max="3" min="3" style="0" width="10.28"/>
    <col collapsed="false" customWidth="true" hidden="false" outlineLevel="0" max="4" min="4" style="0" width="10.43"/>
    <col collapsed="false" customWidth="true" hidden="false" outlineLevel="0" max="5" min="5" style="0" width="14"/>
    <col collapsed="false" customWidth="true" hidden="false" outlineLevel="0" max="6" min="6" style="0" width="11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2" t="s">
        <v>2</v>
      </c>
      <c r="D1" s="2" t="s">
        <v>73</v>
      </c>
      <c r="E1" s="2" t="s">
        <v>74</v>
      </c>
      <c r="F1" s="2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12</v>
      </c>
    </row>
    <row r="2" customFormat="false" ht="15" hidden="false" customHeight="false" outlineLevel="0" collapsed="false">
      <c r="A2" s="4" t="n">
        <v>1</v>
      </c>
      <c r="B2" s="5" t="s">
        <v>13</v>
      </c>
      <c r="C2" s="5" t="s">
        <v>14</v>
      </c>
      <c r="D2" s="4" t="n">
        <v>22</v>
      </c>
      <c r="E2" s="30" t="n">
        <v>38.7321522333333</v>
      </c>
      <c r="F2" s="40" t="n">
        <v>46</v>
      </c>
      <c r="G2" s="27" t="n">
        <v>31.6929134</v>
      </c>
      <c r="H2" s="27" t="n">
        <v>37</v>
      </c>
      <c r="I2" s="27" t="n">
        <v>28.5</v>
      </c>
      <c r="J2" s="27" t="n">
        <v>40.2</v>
      </c>
      <c r="K2" s="27" t="n">
        <v>49</v>
      </c>
    </row>
    <row r="3" customFormat="false" ht="15" hidden="false" customHeight="false" outlineLevel="0" collapsed="false">
      <c r="A3" s="4" t="n">
        <v>2</v>
      </c>
      <c r="B3" s="8" t="s">
        <v>15</v>
      </c>
      <c r="C3" s="9" t="s">
        <v>16</v>
      </c>
      <c r="D3" s="4" t="n">
        <v>6</v>
      </c>
      <c r="E3" s="30" t="n">
        <v>43.26115485</v>
      </c>
      <c r="F3" s="40" t="n">
        <v>51</v>
      </c>
      <c r="G3" s="27" t="n">
        <v>39.5669291</v>
      </c>
      <c r="H3" s="27" t="n">
        <v>41</v>
      </c>
      <c r="I3" s="27" t="n">
        <v>35.5</v>
      </c>
      <c r="J3" s="27" t="n">
        <v>47</v>
      </c>
      <c r="K3" s="27" t="n">
        <v>45.5</v>
      </c>
    </row>
    <row r="4" customFormat="false" ht="15" hidden="false" customHeight="false" outlineLevel="0" collapsed="false">
      <c r="A4" s="4" t="n">
        <v>3</v>
      </c>
      <c r="B4" s="10" t="s">
        <v>17</v>
      </c>
      <c r="C4" s="5" t="s">
        <v>18</v>
      </c>
      <c r="D4" s="4" t="n">
        <v>7</v>
      </c>
      <c r="E4" s="30" t="n">
        <v>43.23884515</v>
      </c>
      <c r="F4" s="40" t="n">
        <v>56</v>
      </c>
      <c r="G4" s="27" t="n">
        <v>35.4330709</v>
      </c>
      <c r="H4" s="27" t="n">
        <v>44</v>
      </c>
      <c r="I4" s="27" t="n">
        <v>32.5</v>
      </c>
      <c r="J4" s="27" t="n">
        <v>47</v>
      </c>
      <c r="K4" s="27" t="n">
        <v>44.5</v>
      </c>
    </row>
    <row r="5" customFormat="false" ht="15" hidden="false" customHeight="false" outlineLevel="0" collapsed="false">
      <c r="A5" s="4" t="n">
        <v>4</v>
      </c>
      <c r="B5" s="10" t="s">
        <v>19</v>
      </c>
      <c r="C5" s="5" t="s">
        <v>20</v>
      </c>
      <c r="D5" s="4" t="n">
        <v>23</v>
      </c>
      <c r="E5" s="30" t="n">
        <v>38.59514435</v>
      </c>
      <c r="F5" s="40" t="n">
        <v>51</v>
      </c>
      <c r="G5" s="27" t="n">
        <v>33.0708661</v>
      </c>
      <c r="H5" s="27" t="n">
        <v>38</v>
      </c>
      <c r="I5" s="27" t="n">
        <v>30</v>
      </c>
      <c r="J5" s="27" t="n">
        <v>39.5</v>
      </c>
      <c r="K5" s="27" t="n">
        <v>40</v>
      </c>
    </row>
    <row r="6" customFormat="false" ht="15" hidden="false" customHeight="false" outlineLevel="0" collapsed="false">
      <c r="A6" s="4" t="n">
        <v>5</v>
      </c>
      <c r="B6" s="8" t="s">
        <v>21</v>
      </c>
      <c r="C6" s="9" t="s">
        <v>22</v>
      </c>
      <c r="D6" s="4" t="n">
        <v>25</v>
      </c>
      <c r="E6" s="30" t="n">
        <v>37.6358267666667</v>
      </c>
      <c r="F6" s="40" t="n">
        <v>48</v>
      </c>
      <c r="G6" s="27" t="n">
        <v>30.3149606</v>
      </c>
      <c r="H6" s="27" t="n">
        <v>41</v>
      </c>
      <c r="I6" s="27" t="n">
        <v>29</v>
      </c>
      <c r="J6" s="27" t="n">
        <v>32.5</v>
      </c>
      <c r="K6" s="27" t="n">
        <v>45</v>
      </c>
    </row>
    <row r="7" customFormat="false" ht="15" hidden="false" customHeight="false" outlineLevel="0" collapsed="false">
      <c r="A7" s="4" t="n">
        <v>6</v>
      </c>
      <c r="B7" s="8" t="s">
        <v>23</v>
      </c>
      <c r="C7" s="9" t="s">
        <v>24</v>
      </c>
      <c r="D7" s="4" t="n">
        <v>14</v>
      </c>
      <c r="E7" s="30" t="n">
        <v>41.4862204666667</v>
      </c>
      <c r="F7" s="40" t="n">
        <v>49</v>
      </c>
      <c r="G7" s="27" t="n">
        <v>36.4173228</v>
      </c>
      <c r="H7" s="27" t="n">
        <v>42</v>
      </c>
      <c r="I7" s="27" t="n">
        <v>34.5</v>
      </c>
      <c r="J7" s="27" t="n">
        <v>42</v>
      </c>
      <c r="K7" s="27" t="n">
        <v>45</v>
      </c>
    </row>
    <row r="8" customFormat="false" ht="15" hidden="false" customHeight="false" outlineLevel="0" collapsed="false">
      <c r="A8" s="4" t="n">
        <v>7</v>
      </c>
      <c r="B8" s="8" t="s">
        <v>25</v>
      </c>
      <c r="C8" s="9" t="s">
        <v>26</v>
      </c>
      <c r="D8" s="4" t="n">
        <v>3</v>
      </c>
      <c r="E8" s="30" t="n">
        <v>43.7565616833333</v>
      </c>
      <c r="F8" s="40" t="n">
        <v>52</v>
      </c>
      <c r="G8" s="27" t="n">
        <v>35.0393701</v>
      </c>
      <c r="H8" s="27" t="n">
        <v>48</v>
      </c>
      <c r="I8" s="27" t="n">
        <v>32</v>
      </c>
      <c r="J8" s="27" t="n">
        <v>44.5</v>
      </c>
      <c r="K8" s="27" t="n">
        <v>51</v>
      </c>
    </row>
    <row r="9" customFormat="false" ht="15" hidden="false" customHeight="false" outlineLevel="0" collapsed="false">
      <c r="A9" s="4" t="n">
        <v>8</v>
      </c>
      <c r="B9" s="8" t="s">
        <v>27</v>
      </c>
      <c r="C9" s="9" t="s">
        <v>28</v>
      </c>
      <c r="D9" s="4" t="n">
        <v>4</v>
      </c>
      <c r="E9" s="30" t="n">
        <v>43.6528871333333</v>
      </c>
      <c r="F9" s="40" t="n">
        <v>52</v>
      </c>
      <c r="G9" s="27" t="n">
        <v>36.4173228</v>
      </c>
      <c r="H9" s="27" t="n">
        <v>47</v>
      </c>
      <c r="I9" s="27" t="n">
        <v>33.5</v>
      </c>
      <c r="J9" s="27" t="n">
        <v>44.5</v>
      </c>
      <c r="K9" s="27" t="n">
        <v>48.5</v>
      </c>
    </row>
    <row r="10" customFormat="false" ht="15" hidden="false" customHeight="false" outlineLevel="0" collapsed="false">
      <c r="A10" s="4" t="n">
        <v>9</v>
      </c>
      <c r="B10" s="8" t="s">
        <v>29</v>
      </c>
      <c r="C10" s="9" t="s">
        <v>30</v>
      </c>
      <c r="D10" s="4" t="n">
        <v>12</v>
      </c>
      <c r="E10" s="30" t="n">
        <v>42.47165355</v>
      </c>
      <c r="F10" s="40" t="n">
        <v>53</v>
      </c>
      <c r="G10" s="27" t="n">
        <v>35.6299213</v>
      </c>
      <c r="H10" s="27" t="n">
        <v>47</v>
      </c>
      <c r="I10" s="27" t="n">
        <v>30.5</v>
      </c>
      <c r="J10" s="27" t="n">
        <v>46.2</v>
      </c>
      <c r="K10" s="27" t="n">
        <v>42.5</v>
      </c>
    </row>
    <row r="11" customFormat="false" ht="15" hidden="false" customHeight="false" outlineLevel="0" collapsed="false">
      <c r="A11" s="4" t="n">
        <v>10</v>
      </c>
      <c r="B11" s="8" t="s">
        <v>31</v>
      </c>
      <c r="C11" s="9" t="s">
        <v>32</v>
      </c>
      <c r="D11" s="4" t="n">
        <v>1</v>
      </c>
      <c r="E11" s="30" t="n">
        <v>46.7434383166667</v>
      </c>
      <c r="F11" s="40" t="n">
        <v>53</v>
      </c>
      <c r="G11" s="27" t="n">
        <v>39.9606299</v>
      </c>
      <c r="H11" s="27" t="n">
        <v>53</v>
      </c>
      <c r="I11" s="27" t="n">
        <v>35.5</v>
      </c>
      <c r="J11" s="27" t="n">
        <v>49</v>
      </c>
      <c r="K11" s="27" t="n">
        <v>50</v>
      </c>
    </row>
    <row r="12" customFormat="false" ht="15" hidden="false" customHeight="false" outlineLevel="0" collapsed="false">
      <c r="A12" s="4" t="n">
        <v>11</v>
      </c>
      <c r="B12" s="8" t="s">
        <v>33</v>
      </c>
      <c r="C12" s="9" t="s">
        <v>34</v>
      </c>
      <c r="D12" s="4" t="n">
        <v>5</v>
      </c>
      <c r="E12" s="30" t="n">
        <v>43.64356955</v>
      </c>
      <c r="F12" s="40" t="n">
        <v>54</v>
      </c>
      <c r="G12" s="27" t="n">
        <v>33.6614173</v>
      </c>
      <c r="H12" s="27" t="n">
        <v>51</v>
      </c>
      <c r="I12" s="27" t="n">
        <v>29.5</v>
      </c>
      <c r="J12" s="27" t="n">
        <v>48.2</v>
      </c>
      <c r="K12" s="27" t="n">
        <v>45.5</v>
      </c>
    </row>
    <row r="13" customFormat="false" ht="15" hidden="false" customHeight="false" outlineLevel="0" collapsed="false">
      <c r="A13" s="4" t="n">
        <v>12</v>
      </c>
      <c r="B13" s="8" t="s">
        <v>35</v>
      </c>
      <c r="C13" s="9" t="s">
        <v>36</v>
      </c>
      <c r="D13" s="4" t="n">
        <v>16</v>
      </c>
      <c r="E13" s="30" t="n">
        <v>41.1883202166667</v>
      </c>
      <c r="F13" s="40" t="n">
        <v>50</v>
      </c>
      <c r="G13" s="27" t="n">
        <v>35.6299213</v>
      </c>
      <c r="H13" s="27" t="n">
        <v>48</v>
      </c>
      <c r="I13" s="27" t="n">
        <v>30.5</v>
      </c>
      <c r="J13" s="27" t="n">
        <v>36.5</v>
      </c>
      <c r="K13" s="27" t="n">
        <v>46.5</v>
      </c>
    </row>
    <row r="14" customFormat="false" ht="15" hidden="false" customHeight="false" outlineLevel="0" collapsed="false">
      <c r="A14" s="4" t="n">
        <v>13</v>
      </c>
      <c r="B14" s="8" t="s">
        <v>37</v>
      </c>
      <c r="C14" s="9" t="s">
        <v>38</v>
      </c>
      <c r="D14" s="4" t="n">
        <v>24</v>
      </c>
      <c r="E14" s="30" t="n">
        <v>38.19356955</v>
      </c>
      <c r="F14" s="40" t="n">
        <v>40</v>
      </c>
      <c r="G14" s="27" t="n">
        <v>33.6614173</v>
      </c>
      <c r="H14" s="27" t="n">
        <v>44</v>
      </c>
      <c r="I14" s="27" t="n">
        <v>30.5</v>
      </c>
      <c r="J14" s="27" t="n">
        <v>42</v>
      </c>
      <c r="K14" s="27" t="n">
        <v>39</v>
      </c>
    </row>
    <row r="15" customFormat="false" ht="15" hidden="false" customHeight="false" outlineLevel="0" collapsed="false">
      <c r="A15" s="4" t="n">
        <v>14</v>
      </c>
      <c r="B15" s="8" t="s">
        <v>39</v>
      </c>
      <c r="C15" s="9" t="s">
        <v>40</v>
      </c>
      <c r="D15" s="4" t="n">
        <v>21</v>
      </c>
      <c r="E15" s="30" t="n">
        <v>40.1784776833333</v>
      </c>
      <c r="F15" s="40" t="n">
        <v>48</v>
      </c>
      <c r="G15" s="27" t="n">
        <v>33.0708661</v>
      </c>
      <c r="H15" s="27" t="n">
        <v>46</v>
      </c>
      <c r="I15" s="27" t="n">
        <v>28</v>
      </c>
      <c r="J15" s="27" t="n">
        <v>43.5</v>
      </c>
      <c r="K15" s="27" t="n">
        <v>42.5</v>
      </c>
    </row>
    <row r="16" customFormat="false" ht="15" hidden="false" customHeight="false" outlineLevel="0" collapsed="false">
      <c r="A16" s="4" t="n">
        <v>15</v>
      </c>
      <c r="B16" s="8" t="s">
        <v>41</v>
      </c>
      <c r="C16" s="9" t="s">
        <v>42</v>
      </c>
      <c r="D16" s="4" t="n">
        <v>20</v>
      </c>
      <c r="E16" s="30" t="n">
        <v>40.8930446166667</v>
      </c>
      <c r="F16" s="40" t="n">
        <v>50</v>
      </c>
      <c r="G16" s="27" t="n">
        <v>33.8582677</v>
      </c>
      <c r="H16" s="27" t="n">
        <v>41</v>
      </c>
      <c r="I16" s="27" t="n">
        <v>32.5</v>
      </c>
      <c r="J16" s="27" t="n">
        <v>44.5</v>
      </c>
      <c r="K16" s="27" t="n">
        <v>43.5</v>
      </c>
    </row>
    <row r="17" customFormat="false" ht="15" hidden="false" customHeight="false" outlineLevel="0" collapsed="false">
      <c r="A17" s="4" t="n">
        <v>16</v>
      </c>
      <c r="B17" s="8" t="s">
        <v>43</v>
      </c>
      <c r="C17" s="9" t="s">
        <v>44</v>
      </c>
      <c r="D17" s="4" t="n">
        <v>10</v>
      </c>
      <c r="E17" s="30" t="n">
        <v>42.917979</v>
      </c>
      <c r="F17" s="40" t="n">
        <v>52</v>
      </c>
      <c r="G17" s="27" t="n">
        <v>37.007874</v>
      </c>
      <c r="H17" s="27" t="n">
        <v>44</v>
      </c>
      <c r="I17" s="27" t="n">
        <v>35</v>
      </c>
      <c r="J17" s="27" t="n">
        <v>47</v>
      </c>
      <c r="K17" s="27" t="n">
        <v>42.5</v>
      </c>
    </row>
    <row r="18" customFormat="false" ht="15" hidden="false" customHeight="false" outlineLevel="0" collapsed="false">
      <c r="A18" s="4" t="n">
        <v>17</v>
      </c>
      <c r="B18" s="8" t="s">
        <v>45</v>
      </c>
      <c r="C18" s="9" t="s">
        <v>46</v>
      </c>
      <c r="D18" s="4" t="n">
        <v>13</v>
      </c>
      <c r="E18" s="30" t="n">
        <v>41.7946194166667</v>
      </c>
      <c r="F18" s="40" t="n">
        <v>52</v>
      </c>
      <c r="G18" s="27" t="n">
        <v>33.2677165</v>
      </c>
      <c r="H18" s="27" t="n">
        <v>43</v>
      </c>
      <c r="I18" s="27" t="n">
        <v>33</v>
      </c>
      <c r="J18" s="27" t="n">
        <v>44</v>
      </c>
      <c r="K18" s="27" t="n">
        <v>45.5</v>
      </c>
    </row>
    <row r="19" customFormat="false" ht="15" hidden="false" customHeight="false" outlineLevel="0" collapsed="false">
      <c r="A19" s="4" t="n">
        <v>18</v>
      </c>
      <c r="B19" s="8" t="s">
        <v>47</v>
      </c>
      <c r="C19" s="9" t="s">
        <v>48</v>
      </c>
      <c r="D19" s="4" t="n">
        <v>18</v>
      </c>
      <c r="E19" s="30" t="n">
        <v>40.9835958</v>
      </c>
      <c r="F19" s="40" t="n">
        <v>47</v>
      </c>
      <c r="G19" s="27" t="n">
        <v>37.4015748</v>
      </c>
      <c r="H19" s="27" t="n">
        <v>40</v>
      </c>
      <c r="I19" s="27" t="n">
        <v>33</v>
      </c>
      <c r="J19" s="27" t="n">
        <v>42</v>
      </c>
      <c r="K19" s="27" t="n">
        <v>46.5</v>
      </c>
    </row>
    <row r="20" customFormat="false" ht="15" hidden="false" customHeight="false" outlineLevel="0" collapsed="false">
      <c r="A20" s="4" t="n">
        <v>19</v>
      </c>
      <c r="B20" s="8" t="s">
        <v>49</v>
      </c>
      <c r="C20" s="9" t="s">
        <v>50</v>
      </c>
      <c r="D20" s="4" t="n">
        <v>17</v>
      </c>
      <c r="E20" s="30" t="n">
        <v>41.0295275666667</v>
      </c>
      <c r="F20" s="40" t="n">
        <v>49</v>
      </c>
      <c r="G20" s="27" t="n">
        <v>32.6771654</v>
      </c>
      <c r="H20" s="27" t="n">
        <v>41</v>
      </c>
      <c r="I20" s="27" t="n">
        <v>35</v>
      </c>
      <c r="J20" s="27" t="n">
        <v>42</v>
      </c>
      <c r="K20" s="27" t="n">
        <v>46.5</v>
      </c>
    </row>
    <row r="21" customFormat="false" ht="15" hidden="false" customHeight="false" outlineLevel="0" collapsed="false">
      <c r="A21" s="4" t="n">
        <v>20</v>
      </c>
      <c r="B21" s="8" t="s">
        <v>51</v>
      </c>
      <c r="C21" s="9" t="s">
        <v>52</v>
      </c>
      <c r="D21" s="4" t="n">
        <v>15</v>
      </c>
      <c r="E21" s="30" t="n">
        <v>41.3805774333333</v>
      </c>
      <c r="F21" s="40" t="n">
        <v>47</v>
      </c>
      <c r="G21" s="27" t="n">
        <v>32.2834646</v>
      </c>
      <c r="H21" s="27" t="n">
        <v>44</v>
      </c>
      <c r="I21" s="27" t="n">
        <v>33</v>
      </c>
      <c r="J21" s="27" t="n">
        <v>46</v>
      </c>
      <c r="K21" s="27" t="n">
        <v>46</v>
      </c>
    </row>
    <row r="22" customFormat="false" ht="15" hidden="false" customHeight="false" outlineLevel="0" collapsed="false">
      <c r="A22" s="4" t="n">
        <v>21</v>
      </c>
      <c r="B22" s="8" t="s">
        <v>53</v>
      </c>
      <c r="C22" s="9" t="s">
        <v>54</v>
      </c>
      <c r="D22" s="4" t="n">
        <v>8</v>
      </c>
      <c r="E22" s="30" t="n">
        <v>43.2362204666667</v>
      </c>
      <c r="F22" s="40" t="n">
        <v>45</v>
      </c>
      <c r="G22" s="27" t="n">
        <v>36.4173228</v>
      </c>
      <c r="H22" s="27" t="n">
        <v>46</v>
      </c>
      <c r="I22" s="27" t="n">
        <v>31.5</v>
      </c>
      <c r="J22" s="27" t="n">
        <v>49</v>
      </c>
      <c r="K22" s="27" t="n">
        <v>51.5</v>
      </c>
    </row>
    <row r="23" customFormat="false" ht="15" hidden="false" customHeight="false" outlineLevel="0" collapsed="false">
      <c r="A23" s="4" t="n">
        <v>22</v>
      </c>
      <c r="B23" s="8" t="s">
        <v>55</v>
      </c>
      <c r="C23" s="9" t="s">
        <v>56</v>
      </c>
      <c r="D23" s="4" t="n">
        <v>2</v>
      </c>
      <c r="E23" s="30" t="n">
        <v>45.8700787333333</v>
      </c>
      <c r="F23" s="40" t="n">
        <v>53</v>
      </c>
      <c r="G23" s="27" t="n">
        <v>36.2204724</v>
      </c>
      <c r="H23" s="27" t="n">
        <v>53</v>
      </c>
      <c r="I23" s="27" t="n">
        <v>39</v>
      </c>
      <c r="J23" s="27" t="n">
        <v>46</v>
      </c>
      <c r="K23" s="27" t="n">
        <v>48</v>
      </c>
    </row>
    <row r="24" customFormat="false" ht="15" hidden="false" customHeight="false" outlineLevel="0" collapsed="false">
      <c r="A24" s="4" t="n">
        <v>23</v>
      </c>
      <c r="B24" s="8" t="s">
        <v>57</v>
      </c>
      <c r="C24" s="9" t="s">
        <v>58</v>
      </c>
      <c r="D24" s="4" t="n">
        <v>11</v>
      </c>
      <c r="E24" s="30" t="n">
        <v>42.5242782166667</v>
      </c>
      <c r="F24" s="40" t="n">
        <v>47</v>
      </c>
      <c r="G24" s="27" t="n">
        <v>34.6456693</v>
      </c>
      <c r="H24" s="27" t="n">
        <v>52</v>
      </c>
      <c r="I24" s="27" t="n">
        <v>34.5</v>
      </c>
      <c r="J24" s="27" t="n">
        <v>43.5</v>
      </c>
      <c r="K24" s="27" t="n">
        <v>43.5</v>
      </c>
    </row>
    <row r="25" customFormat="false" ht="15" hidden="false" customHeight="false" outlineLevel="0" collapsed="false">
      <c r="A25" s="4" t="n">
        <v>24</v>
      </c>
      <c r="B25" s="8" t="s">
        <v>59</v>
      </c>
      <c r="C25" s="9" t="s">
        <v>60</v>
      </c>
      <c r="D25" s="4" t="n">
        <v>19</v>
      </c>
      <c r="E25" s="30" t="n">
        <v>40.917979</v>
      </c>
      <c r="F25" s="40" t="n">
        <v>42</v>
      </c>
      <c r="G25" s="27" t="n">
        <v>37.007874</v>
      </c>
      <c r="H25" s="27" t="n">
        <v>43</v>
      </c>
      <c r="I25" s="27" t="n">
        <v>32</v>
      </c>
      <c r="J25" s="27" t="n">
        <v>46.5</v>
      </c>
      <c r="K25" s="27" t="n">
        <v>45</v>
      </c>
    </row>
    <row r="26" customFormat="false" ht="15" hidden="false" customHeight="false" outlineLevel="0" collapsed="false">
      <c r="A26" s="4" t="n">
        <v>25</v>
      </c>
      <c r="B26" s="8" t="s">
        <v>61</v>
      </c>
      <c r="C26" s="0" t="s">
        <v>62</v>
      </c>
      <c r="D26" s="4" t="n">
        <v>9</v>
      </c>
      <c r="E26" s="30" t="n">
        <v>43.0413385833333</v>
      </c>
      <c r="F26" s="40" t="n">
        <v>50</v>
      </c>
      <c r="G26" s="27" t="n">
        <v>40.7480315</v>
      </c>
      <c r="H26" s="27" t="n">
        <v>48</v>
      </c>
      <c r="I26" s="27" t="n">
        <v>35</v>
      </c>
      <c r="J26" s="27" t="n">
        <v>40.5</v>
      </c>
      <c r="K26" s="27" t="n">
        <v>44</v>
      </c>
    </row>
    <row r="27" customFormat="false" ht="15" hidden="false" customHeight="false" outlineLevel="0" collapsed="false">
      <c r="D27" s="23" t="s">
        <v>63</v>
      </c>
      <c r="E27" s="13" t="n">
        <v>41.89468</v>
      </c>
      <c r="F27" s="13" t="n">
        <f aca="false">AVERAGE(F2:F26)</f>
        <v>49.48</v>
      </c>
      <c r="G27" s="13" t="n">
        <v>35.2440945</v>
      </c>
      <c r="H27" s="13" t="n">
        <f aca="false">AVERAGE(H2:H26)</f>
        <v>44.88</v>
      </c>
      <c r="I27" s="13" t="n">
        <v>32.54</v>
      </c>
      <c r="J27" s="13" t="n">
        <v>43.74464</v>
      </c>
      <c r="K27" s="41" t="n">
        <v>45.48</v>
      </c>
    </row>
    <row r="28" customFormat="false" ht="15" hidden="false" customHeight="false" outlineLevel="0" collapsed="false">
      <c r="D28" s="24" t="s">
        <v>64</v>
      </c>
      <c r="E28" s="17" t="n">
        <v>6.955561</v>
      </c>
      <c r="F28" s="17" t="s">
        <v>65</v>
      </c>
      <c r="G28" s="17" t="n">
        <v>6.9360289</v>
      </c>
      <c r="H28" s="17" t="s">
        <v>65</v>
      </c>
      <c r="I28" s="17" t="n">
        <v>7.29615</v>
      </c>
      <c r="J28" s="17" t="n">
        <v>6.81665</v>
      </c>
      <c r="K28" s="42" t="n">
        <v>7.8</v>
      </c>
    </row>
    <row r="29" customFormat="false" ht="15" hidden="false" customHeight="false" outlineLevel="0" collapsed="false">
      <c r="D29" s="25" t="s">
        <v>66</v>
      </c>
      <c r="E29" s="21" t="n">
        <v>3.331044</v>
      </c>
      <c r="F29" s="21" t="s">
        <v>65</v>
      </c>
      <c r="G29" s="21" t="n">
        <v>4.9368498</v>
      </c>
      <c r="H29" s="21" t="s">
        <v>65</v>
      </c>
      <c r="I29" s="21" t="n">
        <v>5.9168</v>
      </c>
      <c r="J29" s="21" t="n">
        <v>7.50742</v>
      </c>
      <c r="K29" s="43" t="n">
        <v>4.6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6.57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75</v>
      </c>
      <c r="D1" s="1" t="s">
        <v>76</v>
      </c>
      <c r="E1" s="1" t="s">
        <v>77</v>
      </c>
    </row>
    <row r="2" customFormat="false" ht="15" hidden="false" customHeight="false" outlineLevel="0" collapsed="false">
      <c r="A2" s="4" t="n">
        <v>1</v>
      </c>
      <c r="B2" s="5" t="s">
        <v>13</v>
      </c>
      <c r="C2" s="40" t="n">
        <v>96.677690323</v>
      </c>
      <c r="D2" s="1" t="s">
        <v>78</v>
      </c>
      <c r="E2" s="40" t="n">
        <v>33.6133</v>
      </c>
    </row>
    <row r="3" customFormat="false" ht="15" hidden="false" customHeight="false" outlineLevel="0" collapsed="false">
      <c r="A3" s="4" t="n">
        <v>2</v>
      </c>
      <c r="B3" s="8" t="s">
        <v>15</v>
      </c>
      <c r="C3" s="40" t="n">
        <v>87.91327565</v>
      </c>
      <c r="D3" s="1" t="s">
        <v>79</v>
      </c>
      <c r="E3" s="40" t="n">
        <v>34.17</v>
      </c>
    </row>
    <row r="4" customFormat="false" ht="15" hidden="false" customHeight="false" outlineLevel="0" collapsed="false">
      <c r="A4" s="4" t="n">
        <v>3</v>
      </c>
      <c r="B4" s="10" t="s">
        <v>17</v>
      </c>
      <c r="C4" s="40" t="n">
        <v>96.52015777</v>
      </c>
      <c r="D4" s="1" t="s">
        <v>78</v>
      </c>
      <c r="E4" s="40" t="n">
        <v>31.85</v>
      </c>
    </row>
    <row r="5" customFormat="false" ht="15" hidden="false" customHeight="false" outlineLevel="0" collapsed="false">
      <c r="A5" s="4" t="n">
        <v>4</v>
      </c>
      <c r="B5" s="10" t="s">
        <v>19</v>
      </c>
      <c r="C5" s="40" t="n">
        <v>82.30179399</v>
      </c>
      <c r="D5" s="1" t="s">
        <v>80</v>
      </c>
      <c r="E5" s="40" t="n">
        <v>34.4467</v>
      </c>
    </row>
    <row r="6" customFormat="false" ht="15" hidden="false" customHeight="false" outlineLevel="0" collapsed="false">
      <c r="A6" s="4" t="n">
        <v>5</v>
      </c>
      <c r="B6" s="8" t="s">
        <v>21</v>
      </c>
      <c r="C6" s="40" t="n">
        <v>91.9552072</v>
      </c>
      <c r="D6" s="1" t="s">
        <v>81</v>
      </c>
      <c r="E6" s="40" t="n">
        <v>32.3133</v>
      </c>
    </row>
    <row r="7" customFormat="false" ht="15" hidden="false" customHeight="false" outlineLevel="0" collapsed="false">
      <c r="A7" s="4" t="n">
        <v>6</v>
      </c>
      <c r="B7" s="8" t="s">
        <v>23</v>
      </c>
      <c r="C7" s="40" t="n">
        <v>86.434774553</v>
      </c>
      <c r="D7" s="1" t="s">
        <v>80</v>
      </c>
      <c r="E7" s="40" t="n">
        <v>32.68</v>
      </c>
    </row>
    <row r="8" customFormat="false" ht="15" hidden="false" customHeight="false" outlineLevel="0" collapsed="false">
      <c r="A8" s="4" t="n">
        <v>7</v>
      </c>
      <c r="B8" s="8" t="s">
        <v>25</v>
      </c>
      <c r="C8" s="40" t="n">
        <v>86.61708763</v>
      </c>
      <c r="D8" s="1" t="s">
        <v>80</v>
      </c>
      <c r="E8" s="40" t="n">
        <v>30.7333</v>
      </c>
    </row>
    <row r="9" customFormat="false" ht="15" hidden="false" customHeight="false" outlineLevel="0" collapsed="false">
      <c r="A9" s="4" t="n">
        <v>8</v>
      </c>
      <c r="B9" s="8" t="s">
        <v>27</v>
      </c>
      <c r="C9" s="40" t="n">
        <v>88.185247633</v>
      </c>
      <c r="D9" s="1" t="s">
        <v>79</v>
      </c>
      <c r="E9" s="40" t="n">
        <v>32.0333</v>
      </c>
    </row>
    <row r="10" customFormat="false" ht="15" hidden="false" customHeight="false" outlineLevel="0" collapsed="false">
      <c r="A10" s="4" t="n">
        <v>9</v>
      </c>
      <c r="B10" s="8" t="s">
        <v>29</v>
      </c>
      <c r="C10" s="40" t="n">
        <v>82.194530633</v>
      </c>
      <c r="D10" s="1" t="s">
        <v>80</v>
      </c>
      <c r="E10" s="40" t="n">
        <v>29.5267</v>
      </c>
    </row>
    <row r="11" customFormat="false" ht="15" hidden="false" customHeight="false" outlineLevel="0" collapsed="false">
      <c r="A11" s="4" t="n">
        <v>10</v>
      </c>
      <c r="B11" s="8" t="s">
        <v>31</v>
      </c>
      <c r="C11" s="40" t="n">
        <v>72.440479333</v>
      </c>
      <c r="D11" s="1" t="s">
        <v>82</v>
      </c>
      <c r="E11" s="40" t="n">
        <v>30.9167</v>
      </c>
    </row>
    <row r="12" customFormat="false" ht="15" hidden="false" customHeight="false" outlineLevel="0" collapsed="false">
      <c r="A12" s="4" t="n">
        <v>11</v>
      </c>
      <c r="B12" s="8" t="s">
        <v>33</v>
      </c>
      <c r="C12" s="40" t="n">
        <v>85.81937941</v>
      </c>
      <c r="D12" s="1" t="s">
        <v>80</v>
      </c>
      <c r="E12" s="40" t="n">
        <v>31.0133</v>
      </c>
    </row>
    <row r="13" customFormat="false" ht="15" hidden="false" customHeight="false" outlineLevel="0" collapsed="false">
      <c r="A13" s="4" t="n">
        <v>12</v>
      </c>
      <c r="B13" s="8" t="s">
        <v>35</v>
      </c>
      <c r="C13" s="40" t="n">
        <v>74.137651213</v>
      </c>
      <c r="D13" s="1" t="s">
        <v>83</v>
      </c>
      <c r="E13" s="40" t="n">
        <v>32.6833</v>
      </c>
    </row>
    <row r="14" customFormat="false" ht="15" hidden="false" customHeight="false" outlineLevel="0" collapsed="false">
      <c r="A14" s="4" t="n">
        <v>13</v>
      </c>
      <c r="B14" s="8" t="s">
        <v>37</v>
      </c>
      <c r="C14" s="40" t="n">
        <v>108.34705972</v>
      </c>
      <c r="D14" s="1" t="s">
        <v>84</v>
      </c>
      <c r="E14" s="40" t="n">
        <v>32.3133</v>
      </c>
    </row>
    <row r="15" customFormat="false" ht="15" hidden="false" customHeight="false" outlineLevel="0" collapsed="false">
      <c r="A15" s="4" t="n">
        <v>14</v>
      </c>
      <c r="B15" s="8" t="s">
        <v>39</v>
      </c>
      <c r="C15" s="40" t="n">
        <v>73.111546737</v>
      </c>
      <c r="D15" s="1" t="s">
        <v>85</v>
      </c>
      <c r="E15" s="40" t="n">
        <v>35.19</v>
      </c>
    </row>
    <row r="16" customFormat="false" ht="15" hidden="false" customHeight="false" outlineLevel="0" collapsed="false">
      <c r="A16" s="4" t="n">
        <v>15</v>
      </c>
      <c r="B16" s="8" t="s">
        <v>41</v>
      </c>
      <c r="C16" s="40" t="n">
        <v>96.51889358</v>
      </c>
      <c r="D16" s="1" t="s">
        <v>78</v>
      </c>
      <c r="E16" s="40" t="n">
        <v>32.59</v>
      </c>
    </row>
    <row r="17" customFormat="false" ht="15" hidden="false" customHeight="false" outlineLevel="0" collapsed="false">
      <c r="A17" s="4" t="n">
        <v>16</v>
      </c>
      <c r="B17" s="8" t="s">
        <v>43</v>
      </c>
      <c r="C17" s="40" t="n">
        <v>53.909208687</v>
      </c>
      <c r="D17" s="1" t="s">
        <v>86</v>
      </c>
      <c r="E17" s="40" t="n">
        <v>28.69</v>
      </c>
    </row>
    <row r="18" customFormat="false" ht="15" hidden="false" customHeight="false" outlineLevel="0" collapsed="false">
      <c r="A18" s="4" t="n">
        <v>17</v>
      </c>
      <c r="B18" s="8" t="s">
        <v>45</v>
      </c>
      <c r="C18" s="40" t="n">
        <v>82.02610283</v>
      </c>
      <c r="D18" s="1" t="s">
        <v>80</v>
      </c>
      <c r="E18" s="40" t="n">
        <v>32.4967</v>
      </c>
    </row>
    <row r="19" customFormat="false" ht="15" hidden="false" customHeight="false" outlineLevel="0" collapsed="false">
      <c r="A19" s="4" t="n">
        <v>18</v>
      </c>
      <c r="B19" s="8" t="s">
        <v>47</v>
      </c>
      <c r="C19" s="40" t="n">
        <v>92.816440433</v>
      </c>
      <c r="D19" s="1" t="s">
        <v>87</v>
      </c>
      <c r="E19" s="40" t="n">
        <v>30.9167</v>
      </c>
    </row>
    <row r="20" customFormat="false" ht="15" hidden="false" customHeight="false" outlineLevel="0" collapsed="false">
      <c r="A20" s="4" t="n">
        <v>19</v>
      </c>
      <c r="B20" s="8" t="s">
        <v>49</v>
      </c>
      <c r="C20" s="40" t="n">
        <v>92.017541443</v>
      </c>
      <c r="D20" s="1" t="s">
        <v>81</v>
      </c>
      <c r="E20" s="40" t="n">
        <v>28.32</v>
      </c>
    </row>
    <row r="21" customFormat="false" ht="15" hidden="false" customHeight="false" outlineLevel="0" collapsed="false">
      <c r="A21" s="4" t="n">
        <v>20</v>
      </c>
      <c r="B21" s="8" t="s">
        <v>51</v>
      </c>
      <c r="C21" s="40" t="n">
        <v>66.701863743</v>
      </c>
      <c r="D21" s="1" t="s">
        <v>88</v>
      </c>
      <c r="E21" s="40" t="n">
        <v>28.8733</v>
      </c>
    </row>
    <row r="22" customFormat="false" ht="15" hidden="false" customHeight="false" outlineLevel="0" collapsed="false">
      <c r="A22" s="4" t="n">
        <v>21</v>
      </c>
      <c r="B22" s="8" t="s">
        <v>53</v>
      </c>
      <c r="C22" s="40" t="n">
        <v>86.54866318</v>
      </c>
      <c r="D22" s="1" t="s">
        <v>80</v>
      </c>
      <c r="E22" s="40" t="n">
        <v>30.1767</v>
      </c>
    </row>
    <row r="23" customFormat="false" ht="15" hidden="false" customHeight="false" outlineLevel="0" collapsed="false">
      <c r="A23" s="4" t="n">
        <v>22</v>
      </c>
      <c r="B23" s="8" t="s">
        <v>55</v>
      </c>
      <c r="C23" s="40" t="n">
        <v>56.148472803</v>
      </c>
      <c r="D23" s="1" t="s">
        <v>89</v>
      </c>
      <c r="E23" s="40" t="n">
        <v>32.6833</v>
      </c>
    </row>
    <row r="24" customFormat="false" ht="15" hidden="false" customHeight="false" outlineLevel="0" collapsed="false">
      <c r="A24" s="4" t="n">
        <v>23</v>
      </c>
      <c r="B24" s="8" t="s">
        <v>57</v>
      </c>
      <c r="C24" s="40" t="n">
        <v>90.489248497</v>
      </c>
      <c r="D24" s="1" t="s">
        <v>90</v>
      </c>
      <c r="E24" s="40" t="n">
        <v>29.4333</v>
      </c>
    </row>
    <row r="25" customFormat="false" ht="15" hidden="false" customHeight="false" outlineLevel="0" collapsed="false">
      <c r="A25" s="4" t="n">
        <v>24</v>
      </c>
      <c r="B25" s="8" t="s">
        <v>59</v>
      </c>
      <c r="C25" s="40" t="n">
        <v>70.99707698</v>
      </c>
      <c r="D25" s="1" t="s">
        <v>91</v>
      </c>
      <c r="E25" s="40" t="n">
        <v>33.5167</v>
      </c>
    </row>
    <row r="26" customFormat="false" ht="15.75" hidden="false" customHeight="false" outlineLevel="0" collapsed="false">
      <c r="A26" s="4" t="n">
        <v>25</v>
      </c>
      <c r="B26" s="8" t="s">
        <v>61</v>
      </c>
      <c r="C26" s="44" t="n">
        <v>78.902062933</v>
      </c>
      <c r="D26" s="45" t="s">
        <v>80</v>
      </c>
      <c r="E26" s="44" t="n">
        <v>31.85</v>
      </c>
    </row>
    <row r="27" customFormat="false" ht="15.75" hidden="false" customHeight="false" outlineLevel="0" collapsed="false">
      <c r="A27" s="46"/>
      <c r="B27" s="47" t="s">
        <v>63</v>
      </c>
      <c r="C27" s="40" t="n">
        <v>83.18925827616</v>
      </c>
      <c r="D27" s="1"/>
      <c r="E27" s="40" t="n">
        <v>31.721196</v>
      </c>
    </row>
    <row r="28" customFormat="false" ht="15" hidden="false" customHeight="false" outlineLevel="0" collapsed="false">
      <c r="A28" s="46"/>
      <c r="B28" s="47" t="s">
        <v>64</v>
      </c>
      <c r="C28" s="1" t="n">
        <v>19.4</v>
      </c>
      <c r="D28" s="1"/>
      <c r="E28" s="1" t="n">
        <v>17.3</v>
      </c>
    </row>
    <row r="29" customFormat="false" ht="15" hidden="false" customHeight="false" outlineLevel="0" collapsed="false">
      <c r="A29" s="46"/>
      <c r="B29" s="47" t="s">
        <v>92</v>
      </c>
      <c r="C29" s="40" t="n">
        <v>20.0718981207</v>
      </c>
      <c r="D29" s="1"/>
      <c r="E29" s="40" t="n">
        <v>2.6940230307</v>
      </c>
    </row>
    <row r="30" customFormat="false" ht="15" hidden="false" customHeight="false" outlineLevel="0" collapsed="false">
      <c r="A30" s="48"/>
      <c r="B30" s="47" t="s">
        <v>93</v>
      </c>
      <c r="C30" s="40" t="n">
        <v>108.34705972</v>
      </c>
      <c r="D30" s="1"/>
      <c r="E30" s="40" t="n">
        <v>35.19</v>
      </c>
    </row>
    <row r="31" customFormat="false" ht="15" hidden="false" customHeight="false" outlineLevel="0" collapsed="false">
      <c r="A31" s="46"/>
      <c r="B31" s="47" t="s">
        <v>94</v>
      </c>
      <c r="C31" s="40" t="n">
        <v>53.909208687</v>
      </c>
      <c r="D31" s="1"/>
      <c r="E31" s="40" t="n">
        <v>28.32</v>
      </c>
    </row>
    <row r="32" customFormat="false" ht="15" hidden="false" customHeight="false" outlineLevel="0" collapsed="false">
      <c r="A32" s="46"/>
      <c r="B32" s="47" t="s">
        <v>95</v>
      </c>
      <c r="C32" s="1" t="n">
        <v>0.63</v>
      </c>
      <c r="D32" s="1"/>
      <c r="E32" s="1" t="n">
        <v>0.67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Q4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0" activeCellId="0" sqref="O20"/>
    </sheetView>
  </sheetViews>
  <sheetFormatPr defaultColWidth="8.5390625" defaultRowHeight="15" zeroHeight="false" outlineLevelRow="0" outlineLevelCol="0"/>
  <sheetData>
    <row r="1" customFormat="false" ht="15.75" hidden="false" customHeight="false" outlineLevel="0" collapsed="false">
      <c r="A1" s="49" t="s">
        <v>96</v>
      </c>
      <c r="B1" s="50"/>
      <c r="C1" s="1"/>
      <c r="D1" s="50"/>
      <c r="E1" s="50"/>
      <c r="F1" s="50"/>
      <c r="G1" s="50"/>
      <c r="H1" s="50"/>
      <c r="I1" s="50"/>
      <c r="J1" s="50"/>
      <c r="K1" s="50"/>
      <c r="L1" s="50"/>
      <c r="M1" s="50"/>
      <c r="N1" s="50"/>
      <c r="O1" s="50"/>
      <c r="P1" s="50"/>
      <c r="Q1" s="50"/>
    </row>
    <row r="2" customFormat="false" ht="15.75" hidden="false" customHeight="false" outlineLevel="0" collapsed="false">
      <c r="A2" s="51" t="s">
        <v>97</v>
      </c>
      <c r="B2" s="52" t="s">
        <v>98</v>
      </c>
      <c r="C2" s="51"/>
      <c r="D2" s="51"/>
      <c r="E2" s="53"/>
      <c r="F2" s="51"/>
      <c r="G2" s="51"/>
      <c r="H2" s="53" t="s">
        <v>99</v>
      </c>
      <c r="I2" s="51"/>
      <c r="J2" s="54" t="n">
        <v>75</v>
      </c>
      <c r="K2" s="51"/>
      <c r="L2" s="51" t="s">
        <v>100</v>
      </c>
      <c r="M2" s="55"/>
      <c r="N2" s="56" t="n">
        <v>44144</v>
      </c>
      <c r="O2" s="51"/>
      <c r="P2" s="51"/>
      <c r="Q2" s="51"/>
    </row>
    <row r="3" customFormat="false" ht="15.75" hidden="false" customHeight="false" outlineLevel="0" collapsed="false">
      <c r="A3" s="51" t="s">
        <v>101</v>
      </c>
      <c r="B3" s="57" t="s">
        <v>102</v>
      </c>
      <c r="C3" s="51"/>
      <c r="D3" s="51"/>
      <c r="E3" s="53"/>
      <c r="F3" s="51"/>
      <c r="G3" s="51"/>
      <c r="H3" s="53" t="s">
        <v>103</v>
      </c>
      <c r="I3" s="51"/>
      <c r="J3" s="54" t="n">
        <v>4</v>
      </c>
      <c r="K3" s="51"/>
      <c r="L3" s="51" t="s">
        <v>104</v>
      </c>
      <c r="M3" s="55"/>
      <c r="N3" s="56" t="n">
        <v>44371</v>
      </c>
      <c r="O3" s="51"/>
      <c r="P3" s="51"/>
      <c r="Q3" s="51"/>
    </row>
    <row r="4" customFormat="false" ht="15.75" hidden="false" customHeight="false" outlineLevel="0" collapsed="false">
      <c r="A4" s="51" t="s">
        <v>105</v>
      </c>
      <c r="B4" s="52" t="s">
        <v>106</v>
      </c>
      <c r="C4" s="51" t="s">
        <v>107</v>
      </c>
      <c r="D4" s="51"/>
      <c r="E4" s="53"/>
      <c r="F4" s="51"/>
      <c r="G4" s="51"/>
      <c r="H4" s="53"/>
      <c r="I4" s="51"/>
      <c r="J4" s="51"/>
      <c r="K4" s="51"/>
      <c r="L4" s="51"/>
      <c r="M4" s="51"/>
      <c r="N4" s="51"/>
      <c r="O4" s="51"/>
      <c r="P4" s="51"/>
      <c r="Q4" s="51"/>
    </row>
    <row r="5" customFormat="false" ht="15.75" hidden="false" customHeight="false" outlineLevel="0" collapsed="false">
      <c r="A5" s="58"/>
      <c r="B5" s="59"/>
      <c r="C5" s="51" t="s">
        <v>108</v>
      </c>
      <c r="D5" s="51"/>
      <c r="E5" s="53"/>
      <c r="F5" s="51"/>
      <c r="G5" s="51"/>
      <c r="H5" s="53"/>
      <c r="I5" s="51"/>
      <c r="J5" s="51"/>
      <c r="K5" s="51"/>
      <c r="L5" s="51"/>
      <c r="M5" s="51"/>
      <c r="N5" s="51"/>
      <c r="O5" s="51"/>
      <c r="P5" s="51"/>
      <c r="Q5" s="51"/>
    </row>
    <row r="6" customFormat="false" ht="15.75" hidden="false" customHeight="false" outlineLevel="0" collapsed="false">
      <c r="A6" s="51"/>
      <c r="B6" s="59"/>
      <c r="C6" s="51" t="s">
        <v>109</v>
      </c>
      <c r="D6" s="51"/>
      <c r="E6" s="53"/>
      <c r="F6" s="51"/>
      <c r="G6" s="51"/>
      <c r="H6" s="53"/>
      <c r="I6" s="51"/>
      <c r="J6" s="51"/>
      <c r="K6" s="51"/>
      <c r="L6" s="51"/>
      <c r="M6" s="51"/>
      <c r="N6" s="51"/>
      <c r="O6" s="51"/>
      <c r="P6" s="51"/>
      <c r="Q6" s="51"/>
    </row>
    <row r="7" customFormat="false" ht="15.75" hidden="false" customHeight="false" outlineLevel="0" collapsed="false">
      <c r="A7" s="51"/>
      <c r="B7" s="59"/>
      <c r="C7" s="51"/>
      <c r="D7" s="51"/>
      <c r="E7" s="53"/>
      <c r="F7" s="51"/>
      <c r="G7" s="51"/>
      <c r="H7" s="53"/>
      <c r="I7" s="51"/>
      <c r="J7" s="51"/>
      <c r="K7" s="51"/>
      <c r="L7" s="51"/>
      <c r="M7" s="51"/>
      <c r="N7" s="51"/>
      <c r="O7" s="51"/>
      <c r="P7" s="51"/>
      <c r="Q7" s="51"/>
    </row>
    <row r="8" customFormat="false" ht="15" hidden="false" customHeight="false" outlineLevel="0" collapsed="false">
      <c r="A8" s="1"/>
      <c r="B8" s="1"/>
      <c r="C8" s="1" t="s">
        <v>75</v>
      </c>
      <c r="D8" s="1" t="s">
        <v>76</v>
      </c>
      <c r="E8" s="1" t="s">
        <v>77</v>
      </c>
      <c r="F8" s="1" t="s">
        <v>110</v>
      </c>
      <c r="G8" s="1" t="s">
        <v>111</v>
      </c>
      <c r="H8" s="1" t="s">
        <v>112</v>
      </c>
      <c r="I8" s="1" t="s">
        <v>113</v>
      </c>
      <c r="J8" s="1" t="s">
        <v>114</v>
      </c>
      <c r="K8" s="1" t="s">
        <v>115</v>
      </c>
      <c r="L8" s="1" t="s">
        <v>116</v>
      </c>
      <c r="M8" s="1" t="s">
        <v>117</v>
      </c>
      <c r="N8" s="1" t="s">
        <v>118</v>
      </c>
      <c r="O8" s="50"/>
      <c r="P8" s="50"/>
      <c r="Q8" s="50"/>
    </row>
    <row r="9" customFormat="false" ht="15" hidden="false" customHeight="false" outlineLevel="0" collapsed="false">
      <c r="A9" s="1" t="s">
        <v>0</v>
      </c>
      <c r="B9" s="1" t="s">
        <v>1</v>
      </c>
      <c r="C9" s="1" t="s">
        <v>119</v>
      </c>
      <c r="D9" s="1"/>
      <c r="E9" s="1" t="s">
        <v>120</v>
      </c>
      <c r="F9" s="1" t="s">
        <v>121</v>
      </c>
      <c r="G9" s="1" t="s">
        <v>122</v>
      </c>
      <c r="H9" s="1" t="s">
        <v>123</v>
      </c>
      <c r="I9" s="1" t="s">
        <v>123</v>
      </c>
      <c r="J9" s="1" t="s">
        <v>124</v>
      </c>
      <c r="K9" s="1" t="s">
        <v>124</v>
      </c>
      <c r="L9" s="1" t="s">
        <v>124</v>
      </c>
      <c r="M9" s="1"/>
      <c r="N9" s="1"/>
      <c r="O9" s="50"/>
      <c r="P9" s="50"/>
      <c r="Q9" s="50"/>
    </row>
    <row r="10" customFormat="false" ht="15" hidden="false" customHeight="false" outlineLevel="0" collapsed="false">
      <c r="A10" s="60" t="n">
        <v>1</v>
      </c>
      <c r="B10" s="61" t="s">
        <v>13</v>
      </c>
      <c r="C10" s="27" t="n">
        <v>85.289265</v>
      </c>
      <c r="D10" s="1" t="n">
        <v>9</v>
      </c>
      <c r="E10" s="1"/>
      <c r="F10" s="1"/>
      <c r="G10" s="1" t="n">
        <v>46</v>
      </c>
      <c r="H10" s="62" t="n">
        <v>5</v>
      </c>
      <c r="I10" s="1"/>
      <c r="J10" s="1"/>
      <c r="K10" s="1"/>
      <c r="L10" s="1"/>
      <c r="M10" s="1"/>
      <c r="N10" s="1"/>
      <c r="O10" s="50"/>
      <c r="P10" s="50"/>
      <c r="Q10" s="50"/>
    </row>
    <row r="11" customFormat="false" ht="15" hidden="false" customHeight="false" outlineLevel="0" collapsed="false">
      <c r="A11" s="60" t="n">
        <v>2</v>
      </c>
      <c r="B11" s="9" t="s">
        <v>15</v>
      </c>
      <c r="C11" s="27" t="n">
        <v>65.0582</v>
      </c>
      <c r="D11" s="1" t="n">
        <v>22</v>
      </c>
      <c r="E11" s="1"/>
      <c r="F11" s="1"/>
      <c r="G11" s="1" t="n">
        <v>51</v>
      </c>
      <c r="H11" s="62" t="n">
        <v>7</v>
      </c>
      <c r="I11" s="1"/>
      <c r="J11" s="1"/>
      <c r="K11" s="1"/>
      <c r="L11" s="1"/>
      <c r="M11" s="1"/>
      <c r="N11" s="1"/>
      <c r="O11" s="50"/>
      <c r="P11" s="50"/>
      <c r="Q11" s="50"/>
    </row>
    <row r="12" customFormat="false" ht="15" hidden="false" customHeight="false" outlineLevel="0" collapsed="false">
      <c r="A12" s="60" t="n">
        <v>3</v>
      </c>
      <c r="B12" s="63" t="s">
        <v>17</v>
      </c>
      <c r="C12" s="27" t="n">
        <v>62.34889</v>
      </c>
      <c r="D12" s="1" t="n">
        <v>23</v>
      </c>
      <c r="E12" s="1"/>
      <c r="F12" s="50"/>
      <c r="G12" s="1" t="n">
        <v>56</v>
      </c>
      <c r="H12" s="62" t="n">
        <v>4</v>
      </c>
      <c r="I12" s="1"/>
      <c r="J12" s="1"/>
      <c r="K12" s="50"/>
      <c r="L12" s="50"/>
      <c r="M12" s="50"/>
      <c r="N12" s="50"/>
      <c r="O12" s="50"/>
      <c r="P12" s="50"/>
      <c r="Q12" s="50"/>
    </row>
    <row r="13" customFormat="false" ht="15" hidden="false" customHeight="false" outlineLevel="0" collapsed="false">
      <c r="A13" s="60" t="n">
        <v>4</v>
      </c>
      <c r="B13" s="63" t="s">
        <v>19</v>
      </c>
      <c r="C13" s="27" t="n">
        <v>76.543985</v>
      </c>
      <c r="D13" s="1" t="n">
        <v>14</v>
      </c>
      <c r="E13" s="1"/>
      <c r="F13" s="50"/>
      <c r="G13" s="1" t="n">
        <v>51</v>
      </c>
      <c r="H13" s="62" t="n">
        <v>4</v>
      </c>
      <c r="I13" s="1"/>
      <c r="J13" s="1"/>
      <c r="K13" s="50"/>
      <c r="L13" s="50"/>
      <c r="M13" s="50"/>
      <c r="N13" s="50"/>
      <c r="O13" s="50"/>
      <c r="P13" s="50"/>
      <c r="Q13" s="50"/>
    </row>
    <row r="14" customFormat="false" ht="15" hidden="false" customHeight="false" outlineLevel="0" collapsed="false">
      <c r="A14" s="60" t="n">
        <v>5</v>
      </c>
      <c r="B14" s="9" t="s">
        <v>21</v>
      </c>
      <c r="C14" s="27" t="n">
        <v>95.556443</v>
      </c>
      <c r="D14" s="1" t="n">
        <v>6</v>
      </c>
      <c r="E14" s="1"/>
      <c r="F14" s="50"/>
      <c r="G14" s="1" t="n">
        <v>48</v>
      </c>
      <c r="H14" s="62" t="n">
        <v>5</v>
      </c>
      <c r="I14" s="1"/>
      <c r="J14" s="1"/>
      <c r="K14" s="50"/>
      <c r="L14" s="50"/>
      <c r="M14" s="50"/>
      <c r="N14" s="50"/>
      <c r="O14" s="50"/>
      <c r="P14" s="50"/>
      <c r="Q14" s="50"/>
    </row>
    <row r="15" customFormat="false" ht="15" hidden="false" customHeight="false" outlineLevel="0" collapsed="false">
      <c r="A15" s="60" t="n">
        <v>6</v>
      </c>
      <c r="B15" s="9" t="s">
        <v>23</v>
      </c>
      <c r="C15" s="27" t="n">
        <v>73.27614</v>
      </c>
      <c r="D15" s="1" t="n">
        <v>16</v>
      </c>
      <c r="E15" s="1"/>
      <c r="F15" s="50"/>
      <c r="G15" s="1" t="n">
        <v>49</v>
      </c>
      <c r="H15" s="62" t="n">
        <v>7</v>
      </c>
      <c r="I15" s="1"/>
      <c r="J15" s="1"/>
      <c r="K15" s="50"/>
      <c r="L15" s="50"/>
      <c r="M15" s="50"/>
      <c r="N15" s="50"/>
      <c r="O15" s="50"/>
      <c r="P15" s="50"/>
      <c r="Q15" s="50"/>
    </row>
    <row r="16" customFormat="false" ht="15" hidden="false" customHeight="false" outlineLevel="0" collapsed="false">
      <c r="A16" s="60" t="n">
        <v>7</v>
      </c>
      <c r="B16" s="9" t="s">
        <v>25</v>
      </c>
      <c r="C16" s="27" t="n">
        <v>70.581678</v>
      </c>
      <c r="D16" s="1" t="n">
        <v>20</v>
      </c>
      <c r="E16" s="1"/>
      <c r="F16" s="50"/>
      <c r="G16" s="1" t="n">
        <v>52</v>
      </c>
      <c r="H16" s="62" t="n">
        <v>7</v>
      </c>
      <c r="I16" s="1"/>
      <c r="J16" s="1"/>
      <c r="K16" s="50"/>
      <c r="L16" s="50"/>
      <c r="M16" s="50"/>
      <c r="N16" s="50"/>
      <c r="O16" s="50"/>
      <c r="P16" s="50"/>
      <c r="Q16" s="50"/>
    </row>
    <row r="17" customFormat="false" ht="15" hidden="false" customHeight="false" outlineLevel="0" collapsed="false">
      <c r="A17" s="60" t="n">
        <v>8</v>
      </c>
      <c r="B17" s="9" t="s">
        <v>27</v>
      </c>
      <c r="C17" s="27" t="n">
        <v>81.637532</v>
      </c>
      <c r="D17" s="1" t="n">
        <v>11</v>
      </c>
      <c r="E17" s="1"/>
      <c r="F17" s="50"/>
      <c r="G17" s="1" t="n">
        <v>52</v>
      </c>
      <c r="H17" s="62" t="n">
        <v>5</v>
      </c>
      <c r="I17" s="1"/>
      <c r="J17" s="1"/>
      <c r="K17" s="50"/>
      <c r="L17" s="50"/>
      <c r="M17" s="50"/>
      <c r="N17" s="50"/>
      <c r="O17" s="50"/>
      <c r="P17" s="50"/>
      <c r="Q17" s="50"/>
    </row>
    <row r="18" customFormat="false" ht="15" hidden="false" customHeight="false" outlineLevel="0" collapsed="false">
      <c r="A18" s="60" t="n">
        <v>9</v>
      </c>
      <c r="B18" s="9" t="s">
        <v>29</v>
      </c>
      <c r="C18" s="27" t="n">
        <v>69.720857</v>
      </c>
      <c r="D18" s="1" t="n">
        <v>21</v>
      </c>
      <c r="E18" s="1"/>
      <c r="F18" s="50"/>
      <c r="G18" s="1" t="n">
        <v>53</v>
      </c>
      <c r="H18" s="62" t="n">
        <v>4</v>
      </c>
      <c r="I18" s="1"/>
      <c r="J18" s="1"/>
      <c r="K18" s="50"/>
      <c r="L18" s="50"/>
      <c r="M18" s="50"/>
      <c r="N18" s="50"/>
      <c r="O18" s="50"/>
      <c r="P18" s="50"/>
      <c r="Q18" s="50"/>
    </row>
    <row r="19" customFormat="false" ht="15" hidden="false" customHeight="false" outlineLevel="0" collapsed="false">
      <c r="A19" s="60" t="n">
        <v>10</v>
      </c>
      <c r="B19" s="9" t="s">
        <v>31</v>
      </c>
      <c r="C19" s="27" t="n">
        <v>73.16798</v>
      </c>
      <c r="D19" s="1" t="n">
        <v>17</v>
      </c>
      <c r="E19" s="1"/>
      <c r="F19" s="50"/>
      <c r="G19" s="1" t="n">
        <v>53</v>
      </c>
      <c r="H19" s="62" t="n">
        <v>4</v>
      </c>
      <c r="I19" s="1"/>
      <c r="J19" s="1"/>
      <c r="K19" s="50"/>
      <c r="L19" s="50"/>
      <c r="M19" s="50"/>
      <c r="N19" s="50"/>
      <c r="O19" s="50"/>
      <c r="P19" s="50"/>
      <c r="Q19" s="50"/>
    </row>
    <row r="20" customFormat="false" ht="15" hidden="false" customHeight="false" outlineLevel="0" collapsed="false">
      <c r="A20" s="60" t="n">
        <v>11</v>
      </c>
      <c r="B20" s="9" t="s">
        <v>125</v>
      </c>
      <c r="C20" s="27" t="n">
        <v>83.693635</v>
      </c>
      <c r="D20" s="1" t="n">
        <v>10</v>
      </c>
      <c r="E20" s="1"/>
      <c r="F20" s="50"/>
      <c r="G20" s="1" t="n">
        <v>54</v>
      </c>
      <c r="H20" s="62" t="n">
        <v>6</v>
      </c>
      <c r="I20" s="1"/>
      <c r="J20" s="1"/>
      <c r="K20" s="50"/>
      <c r="L20" s="50"/>
      <c r="M20" s="50"/>
      <c r="N20" s="50"/>
      <c r="O20" s="50"/>
      <c r="P20" s="50"/>
      <c r="Q20" s="50"/>
    </row>
    <row r="21" customFormat="false" ht="15" hidden="false" customHeight="false" outlineLevel="0" collapsed="false">
      <c r="A21" s="60" t="n">
        <v>12</v>
      </c>
      <c r="B21" s="9" t="s">
        <v>35</v>
      </c>
      <c r="C21" s="27" t="n">
        <v>100.804114</v>
      </c>
      <c r="D21" s="1" t="n">
        <v>3</v>
      </c>
      <c r="E21" s="1"/>
      <c r="F21" s="50"/>
      <c r="G21" s="1" t="n">
        <v>50</v>
      </c>
      <c r="H21" s="62" t="n">
        <v>5</v>
      </c>
      <c r="I21" s="1"/>
      <c r="J21" s="1"/>
      <c r="K21" s="50"/>
      <c r="L21" s="50"/>
      <c r="M21" s="50"/>
      <c r="N21" s="50"/>
      <c r="O21" s="50"/>
      <c r="P21" s="50"/>
      <c r="Q21" s="50"/>
    </row>
    <row r="22" customFormat="false" ht="15" hidden="false" customHeight="false" outlineLevel="0" collapsed="false">
      <c r="A22" s="60" t="n">
        <v>13</v>
      </c>
      <c r="B22" s="9" t="s">
        <v>37</v>
      </c>
      <c r="C22" s="27" t="n">
        <v>96.067543</v>
      </c>
      <c r="D22" s="1" t="n">
        <v>5</v>
      </c>
      <c r="E22" s="1"/>
      <c r="F22" s="50"/>
      <c r="G22" s="1" t="n">
        <v>40</v>
      </c>
      <c r="H22" s="62" t="n">
        <v>7</v>
      </c>
      <c r="I22" s="1"/>
      <c r="J22" s="1"/>
      <c r="K22" s="50"/>
      <c r="L22" s="50"/>
      <c r="M22" s="50"/>
      <c r="N22" s="50"/>
      <c r="O22" s="50"/>
      <c r="P22" s="50"/>
      <c r="Q22" s="50"/>
    </row>
    <row r="23" customFormat="false" ht="15" hidden="false" customHeight="false" outlineLevel="0" collapsed="false">
      <c r="A23" s="60" t="n">
        <v>14</v>
      </c>
      <c r="B23" s="9" t="s">
        <v>39</v>
      </c>
      <c r="C23" s="27" t="n">
        <v>103.082503</v>
      </c>
      <c r="D23" s="1" t="n">
        <v>2</v>
      </c>
      <c r="E23" s="1"/>
      <c r="F23" s="50"/>
      <c r="G23" s="1" t="n">
        <v>48</v>
      </c>
      <c r="H23" s="62" t="n">
        <v>4</v>
      </c>
      <c r="I23" s="1"/>
      <c r="J23" s="1"/>
      <c r="K23" s="50"/>
      <c r="L23" s="50"/>
      <c r="M23" s="50"/>
      <c r="N23" s="50"/>
      <c r="O23" s="50"/>
      <c r="P23" s="50"/>
      <c r="Q23" s="50"/>
    </row>
    <row r="24" customFormat="false" ht="15" hidden="false" customHeight="false" outlineLevel="0" collapsed="false">
      <c r="A24" s="60" t="n">
        <v>15</v>
      </c>
      <c r="B24" s="9" t="s">
        <v>41</v>
      </c>
      <c r="C24" s="27" t="n">
        <v>96.668637</v>
      </c>
      <c r="D24" s="1" t="n">
        <v>4</v>
      </c>
      <c r="E24" s="1"/>
      <c r="F24" s="50"/>
      <c r="G24" s="1" t="n">
        <v>50</v>
      </c>
      <c r="H24" s="62" t="n">
        <v>6</v>
      </c>
      <c r="I24" s="1"/>
      <c r="J24" s="1"/>
      <c r="K24" s="50"/>
      <c r="L24" s="50"/>
      <c r="M24" s="50"/>
      <c r="N24" s="50"/>
      <c r="O24" s="50"/>
      <c r="P24" s="50"/>
      <c r="Q24" s="50"/>
    </row>
    <row r="25" customFormat="false" ht="15" hidden="false" customHeight="false" outlineLevel="0" collapsed="false">
      <c r="A25" s="60" t="n">
        <v>16</v>
      </c>
      <c r="B25" s="9" t="s">
        <v>43</v>
      </c>
      <c r="C25" s="27" t="n">
        <v>47.449717</v>
      </c>
      <c r="D25" s="1" t="n">
        <v>25</v>
      </c>
      <c r="E25" s="1"/>
      <c r="F25" s="50"/>
      <c r="G25" s="1" t="n">
        <v>52</v>
      </c>
      <c r="H25" s="62" t="n">
        <v>5</v>
      </c>
      <c r="I25" s="1"/>
      <c r="J25" s="1"/>
      <c r="K25" s="50"/>
      <c r="L25" s="50"/>
      <c r="M25" s="50"/>
      <c r="N25" s="50"/>
      <c r="O25" s="50"/>
      <c r="P25" s="50"/>
      <c r="Q25" s="50"/>
    </row>
    <row r="26" customFormat="false" ht="15" hidden="false" customHeight="false" outlineLevel="0" collapsed="false">
      <c r="A26" s="60" t="n">
        <v>17</v>
      </c>
      <c r="B26" s="9" t="s">
        <v>45</v>
      </c>
      <c r="C26" s="27" t="n">
        <v>54.832084</v>
      </c>
      <c r="D26" s="1" t="n">
        <v>24</v>
      </c>
      <c r="E26" s="1"/>
      <c r="F26" s="50"/>
      <c r="G26" s="1" t="n">
        <v>52</v>
      </c>
      <c r="H26" s="62" t="n">
        <v>6</v>
      </c>
      <c r="I26" s="1"/>
      <c r="J26" s="1"/>
      <c r="K26" s="50"/>
      <c r="L26" s="50"/>
      <c r="M26" s="50"/>
      <c r="N26" s="50"/>
      <c r="O26" s="50"/>
      <c r="P26" s="50"/>
      <c r="Q26" s="50"/>
    </row>
    <row r="27" customFormat="false" ht="15" hidden="false" customHeight="false" outlineLevel="0" collapsed="false">
      <c r="A27" s="60" t="n">
        <v>18</v>
      </c>
      <c r="B27" s="9" t="s">
        <v>47</v>
      </c>
      <c r="C27" s="27" t="n">
        <v>71.60284</v>
      </c>
      <c r="D27" s="1" t="n">
        <v>18</v>
      </c>
      <c r="E27" s="1"/>
      <c r="F27" s="50"/>
      <c r="G27" s="1" t="n">
        <v>47</v>
      </c>
      <c r="H27" s="62" t="n">
        <v>4</v>
      </c>
      <c r="I27" s="1"/>
      <c r="J27" s="1"/>
      <c r="K27" s="50"/>
      <c r="L27" s="50"/>
      <c r="M27" s="50"/>
      <c r="N27" s="50"/>
      <c r="O27" s="50"/>
      <c r="P27" s="50"/>
      <c r="Q27" s="50"/>
    </row>
    <row r="28" customFormat="false" ht="15" hidden="false" customHeight="false" outlineLevel="0" collapsed="false">
      <c r="A28" s="60" t="n">
        <v>19</v>
      </c>
      <c r="B28" s="9" t="s">
        <v>49</v>
      </c>
      <c r="C28" s="27" t="n">
        <v>78.329543</v>
      </c>
      <c r="D28" s="1" t="n">
        <v>12</v>
      </c>
      <c r="E28" s="1"/>
      <c r="F28" s="50"/>
      <c r="G28" s="1" t="n">
        <v>49</v>
      </c>
      <c r="H28" s="62" t="n">
        <v>6</v>
      </c>
      <c r="I28" s="1"/>
      <c r="J28" s="1"/>
      <c r="K28" s="50"/>
      <c r="L28" s="50"/>
      <c r="M28" s="50"/>
      <c r="N28" s="50"/>
      <c r="O28" s="50"/>
      <c r="P28" s="50"/>
      <c r="Q28" s="50"/>
    </row>
    <row r="29" customFormat="false" ht="15" hidden="false" customHeight="false" outlineLevel="0" collapsed="false">
      <c r="A29" s="60" t="n">
        <v>20</v>
      </c>
      <c r="B29" s="9" t="s">
        <v>51</v>
      </c>
      <c r="C29" s="27" t="n">
        <v>71.510087</v>
      </c>
      <c r="D29" s="1" t="n">
        <v>19</v>
      </c>
      <c r="E29" s="1"/>
      <c r="F29" s="50"/>
      <c r="G29" s="1" t="n">
        <v>47</v>
      </c>
      <c r="H29" s="62" t="n">
        <v>6</v>
      </c>
      <c r="I29" s="1"/>
      <c r="J29" s="1"/>
      <c r="K29" s="50"/>
      <c r="L29" s="50"/>
      <c r="M29" s="50"/>
      <c r="N29" s="50"/>
      <c r="O29" s="50"/>
      <c r="P29" s="50"/>
      <c r="Q29" s="50"/>
    </row>
    <row r="30" customFormat="false" ht="15" hidden="false" customHeight="false" outlineLevel="0" collapsed="false">
      <c r="A30" s="60" t="n">
        <v>21</v>
      </c>
      <c r="B30" s="9" t="s">
        <v>53</v>
      </c>
      <c r="C30" s="27" t="n">
        <v>75.941066</v>
      </c>
      <c r="D30" s="1" t="n">
        <v>15</v>
      </c>
      <c r="E30" s="1"/>
      <c r="F30" s="50"/>
      <c r="G30" s="1" t="n">
        <v>45</v>
      </c>
      <c r="H30" s="62" t="n">
        <v>7</v>
      </c>
      <c r="I30" s="1"/>
      <c r="J30" s="1"/>
      <c r="K30" s="50"/>
      <c r="L30" s="50"/>
      <c r="M30" s="50"/>
      <c r="N30" s="50"/>
      <c r="O30" s="50"/>
      <c r="P30" s="50"/>
      <c r="Q30" s="50"/>
    </row>
    <row r="31" customFormat="false" ht="15" hidden="false" customHeight="false" outlineLevel="0" collapsed="false">
      <c r="A31" s="60" t="n">
        <v>22</v>
      </c>
      <c r="B31" s="9" t="s">
        <v>55</v>
      </c>
      <c r="C31" s="27" t="n">
        <v>104.742064</v>
      </c>
      <c r="D31" s="1" t="n">
        <v>1</v>
      </c>
      <c r="E31" s="1"/>
      <c r="F31" s="50"/>
      <c r="G31" s="1" t="n">
        <v>53</v>
      </c>
      <c r="H31" s="62" t="n">
        <v>6</v>
      </c>
      <c r="I31" s="1"/>
      <c r="J31" s="1"/>
      <c r="K31" s="50"/>
      <c r="L31" s="50"/>
      <c r="M31" s="50"/>
      <c r="N31" s="50"/>
      <c r="O31" s="50"/>
      <c r="P31" s="50"/>
      <c r="Q31" s="50"/>
    </row>
    <row r="32" customFormat="false" ht="15" hidden="false" customHeight="false" outlineLevel="0" collapsed="false">
      <c r="A32" s="60" t="n">
        <v>23</v>
      </c>
      <c r="B32" s="9" t="s">
        <v>57</v>
      </c>
      <c r="C32" s="27" t="n">
        <v>90.191027</v>
      </c>
      <c r="D32" s="1" t="n">
        <v>7</v>
      </c>
      <c r="E32" s="1"/>
      <c r="F32" s="50"/>
      <c r="G32" s="1" t="n">
        <v>47</v>
      </c>
      <c r="H32" s="62" t="n">
        <v>5</v>
      </c>
      <c r="I32" s="1"/>
      <c r="J32" s="1"/>
      <c r="K32" s="50"/>
      <c r="L32" s="50"/>
      <c r="M32" s="50"/>
      <c r="N32" s="50"/>
      <c r="O32" s="50"/>
      <c r="P32" s="50"/>
      <c r="Q32" s="50"/>
    </row>
    <row r="33" customFormat="false" ht="15" hidden="false" customHeight="false" outlineLevel="0" collapsed="false">
      <c r="A33" s="60" t="n">
        <v>24</v>
      </c>
      <c r="B33" s="9" t="s">
        <v>59</v>
      </c>
      <c r="C33" s="27" t="n">
        <v>77.614756</v>
      </c>
      <c r="D33" s="1" t="n">
        <v>13</v>
      </c>
      <c r="E33" s="1"/>
      <c r="F33" s="50"/>
      <c r="G33" s="1" t="n">
        <v>42</v>
      </c>
      <c r="H33" s="62" t="n">
        <v>6</v>
      </c>
      <c r="I33" s="1"/>
      <c r="J33" s="1"/>
      <c r="K33" s="50"/>
      <c r="L33" s="50"/>
      <c r="M33" s="50"/>
      <c r="N33" s="50"/>
      <c r="O33" s="50"/>
      <c r="P33" s="50"/>
      <c r="Q33" s="50"/>
    </row>
    <row r="34" customFormat="false" ht="15" hidden="false" customHeight="false" outlineLevel="0" collapsed="false">
      <c r="A34" s="60" t="n">
        <v>25</v>
      </c>
      <c r="B34" s="9" t="s">
        <v>61</v>
      </c>
      <c r="C34" s="27" t="n">
        <v>87.954305</v>
      </c>
      <c r="D34" s="1" t="n">
        <v>8</v>
      </c>
      <c r="E34" s="1"/>
      <c r="F34" s="50"/>
      <c r="G34" s="1" t="n">
        <v>50</v>
      </c>
      <c r="H34" s="62" t="n">
        <v>6</v>
      </c>
      <c r="I34" s="1"/>
      <c r="J34" s="1"/>
      <c r="K34" s="50"/>
      <c r="L34" s="50"/>
      <c r="M34" s="50"/>
      <c r="N34" s="50"/>
      <c r="O34" s="50"/>
      <c r="P34" s="50"/>
      <c r="Q34" s="50"/>
    </row>
    <row r="35" customFormat="false" ht="15" hidden="false" customHeight="false" outlineLevel="0" collapsed="false">
      <c r="A35" s="1"/>
      <c r="B35" s="1"/>
      <c r="C35" s="1"/>
      <c r="D35" s="1"/>
      <c r="E35" s="50"/>
      <c r="F35" s="50"/>
      <c r="G35" s="50"/>
      <c r="H35" s="50"/>
      <c r="I35" s="50"/>
      <c r="J35" s="50"/>
      <c r="K35" s="50"/>
      <c r="L35" s="50"/>
      <c r="M35" s="50"/>
      <c r="N35" s="50"/>
      <c r="O35" s="50"/>
      <c r="P35" s="50"/>
      <c r="Q35" s="50"/>
    </row>
    <row r="36" customFormat="false" ht="15" hidden="false" customHeight="false" outlineLevel="0" collapsed="false">
      <c r="A36" s="50"/>
      <c r="B36" s="0" t="s">
        <v>63</v>
      </c>
      <c r="C36" s="27" t="n">
        <f aca="false">AVERAGE(C10:C35)</f>
        <v>79.74659564</v>
      </c>
      <c r="D36" s="50"/>
      <c r="E36" s="50"/>
      <c r="F36" s="50"/>
      <c r="G36" s="50"/>
      <c r="H36" s="50"/>
      <c r="I36" s="50"/>
      <c r="J36" s="50"/>
      <c r="K36" s="50"/>
      <c r="L36" s="50"/>
      <c r="M36" s="50"/>
      <c r="N36" s="50"/>
      <c r="O36" s="50"/>
      <c r="P36" s="50"/>
      <c r="Q36" s="50"/>
    </row>
    <row r="37" customFormat="false" ht="15" hidden="false" customHeight="false" outlineLevel="0" collapsed="false">
      <c r="A37" s="50"/>
      <c r="B37" s="0" t="s">
        <v>126</v>
      </c>
      <c r="C37" s="27" t="n">
        <v>21.9</v>
      </c>
      <c r="D37" s="50"/>
      <c r="E37" s="50"/>
      <c r="F37" s="50"/>
      <c r="G37" s="50"/>
      <c r="H37" s="50"/>
      <c r="I37" s="50"/>
      <c r="J37" s="50"/>
      <c r="K37" s="50"/>
      <c r="L37" s="50"/>
      <c r="M37" s="50"/>
      <c r="N37" s="50"/>
      <c r="O37" s="50"/>
      <c r="P37" s="50"/>
      <c r="Q37" s="50"/>
    </row>
    <row r="38" customFormat="false" ht="15" hidden="false" customHeight="false" outlineLevel="0" collapsed="false">
      <c r="A38" s="50"/>
      <c r="B38" s="0" t="s">
        <v>127</v>
      </c>
      <c r="C38" s="27" t="n">
        <v>24.6</v>
      </c>
      <c r="D38" s="50"/>
      <c r="E38" s="50"/>
      <c r="F38" s="50"/>
      <c r="G38" s="50"/>
      <c r="H38" s="50"/>
      <c r="I38" s="50"/>
      <c r="J38" s="50"/>
      <c r="K38" s="50"/>
      <c r="L38" s="50"/>
      <c r="M38" s="50"/>
      <c r="N38" s="50"/>
      <c r="O38" s="50"/>
      <c r="P38" s="50"/>
      <c r="Q38" s="50"/>
    </row>
    <row r="39" customFormat="false" ht="15" hidden="false" customHeight="false" outlineLevel="0" collapsed="false">
      <c r="A39" s="64"/>
      <c r="B39" s="0" t="s">
        <v>128</v>
      </c>
      <c r="C39" s="27" t="n">
        <v>57.9</v>
      </c>
      <c r="D39" s="50"/>
      <c r="E39" s="50"/>
      <c r="F39" s="50"/>
      <c r="G39" s="50"/>
      <c r="H39" s="50"/>
      <c r="I39" s="50"/>
      <c r="J39" s="50"/>
      <c r="K39" s="50"/>
      <c r="L39" s="50"/>
      <c r="M39" s="50"/>
      <c r="N39" s="50"/>
      <c r="O39" s="50"/>
      <c r="P39" s="50"/>
      <c r="Q39" s="50"/>
    </row>
    <row r="40" customFormat="false" ht="15" hidden="false" customHeight="false" outlineLevel="0" collapsed="false">
      <c r="A40" s="50"/>
      <c r="B40" s="0" t="s">
        <v>129</v>
      </c>
      <c r="C40" s="3" t="n">
        <v>72</v>
      </c>
      <c r="D40" s="50"/>
      <c r="E40" s="50"/>
      <c r="F40" s="50"/>
      <c r="G40" s="50"/>
      <c r="H40" s="50"/>
      <c r="I40" s="50"/>
      <c r="J40" s="50"/>
      <c r="K40" s="50"/>
      <c r="L40" s="50"/>
      <c r="M40" s="50"/>
      <c r="N40" s="50"/>
      <c r="O40" s="50"/>
      <c r="P40" s="50"/>
      <c r="Q40" s="5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390625" defaultRowHeight="15" zeroHeight="false" outlineLevelRow="0" outlineLevelCol="0"/>
  <sheetData>
    <row r="1" customFormat="false" ht="15.75" hidden="false" customHeight="false" outlineLevel="0" collapsed="false">
      <c r="A1" s="49" t="s">
        <v>96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</row>
    <row r="2" customFormat="false" ht="18.75" hidden="false" customHeight="false" outlineLevel="0" collapsed="false">
      <c r="A2" s="66" t="s">
        <v>97</v>
      </c>
      <c r="B2" s="66" t="s">
        <v>130</v>
      </c>
      <c r="C2" s="66"/>
      <c r="D2" s="66"/>
      <c r="E2" s="66"/>
      <c r="F2" s="66"/>
      <c r="G2" s="66"/>
      <c r="H2" s="66"/>
      <c r="I2" s="66" t="s">
        <v>131</v>
      </c>
      <c r="J2" s="66" t="s">
        <v>132</v>
      </c>
      <c r="K2" s="67"/>
      <c r="L2" s="66" t="s">
        <v>100</v>
      </c>
      <c r="M2" s="68" t="s">
        <v>133</v>
      </c>
      <c r="N2" s="66"/>
    </row>
    <row r="3" customFormat="false" ht="15.75" hidden="false" customHeight="false" outlineLevel="0" collapsed="false">
      <c r="A3" s="66" t="s">
        <v>101</v>
      </c>
      <c r="B3" s="66" t="s">
        <v>134</v>
      </c>
      <c r="C3" s="66"/>
      <c r="D3" s="66"/>
      <c r="E3" s="66"/>
      <c r="F3" s="66"/>
      <c r="G3" s="66"/>
      <c r="H3" s="66"/>
      <c r="I3" s="66" t="s">
        <v>135</v>
      </c>
      <c r="J3" s="66" t="n">
        <v>2</v>
      </c>
      <c r="K3" s="67"/>
      <c r="L3" s="66" t="s">
        <v>104</v>
      </c>
      <c r="M3" s="68" t="s">
        <v>136</v>
      </c>
      <c r="N3" s="66"/>
    </row>
    <row r="4" customFormat="false" ht="15.75" hidden="false" customHeight="false" outlineLevel="0" collapsed="false">
      <c r="A4" s="66" t="s">
        <v>105</v>
      </c>
      <c r="B4" s="66" t="s">
        <v>137</v>
      </c>
      <c r="C4" s="66" t="s">
        <v>138</v>
      </c>
      <c r="D4" s="66"/>
      <c r="E4" s="66"/>
      <c r="F4" s="66"/>
      <c r="G4" s="66"/>
      <c r="H4" s="66"/>
      <c r="I4" s="66"/>
      <c r="J4" s="66"/>
      <c r="K4" s="67"/>
      <c r="L4" s="66"/>
      <c r="M4" s="68"/>
      <c r="N4" s="66"/>
    </row>
    <row r="5" customFormat="false" ht="15" hidden="false" customHeight="false" outlineLevel="0" collapsed="false">
      <c r="A5" s="1"/>
      <c r="B5" s="1"/>
      <c r="C5" s="1" t="s">
        <v>75</v>
      </c>
      <c r="D5" s="1" t="s">
        <v>76</v>
      </c>
      <c r="E5" s="1" t="s">
        <v>77</v>
      </c>
      <c r="F5" s="1" t="s">
        <v>110</v>
      </c>
      <c r="G5" s="1" t="s">
        <v>111</v>
      </c>
      <c r="H5" s="1" t="s">
        <v>112</v>
      </c>
      <c r="I5" s="1" t="s">
        <v>113</v>
      </c>
      <c r="J5" s="1" t="s">
        <v>114</v>
      </c>
      <c r="K5" s="1" t="s">
        <v>115</v>
      </c>
      <c r="L5" s="1" t="s">
        <v>116</v>
      </c>
      <c r="M5" s="1" t="s">
        <v>117</v>
      </c>
      <c r="N5" s="1" t="s">
        <v>118</v>
      </c>
    </row>
    <row r="6" customFormat="false" ht="15" hidden="false" customHeight="false" outlineLevel="0" collapsed="false">
      <c r="A6" s="1" t="s">
        <v>0</v>
      </c>
      <c r="B6" s="1" t="s">
        <v>1</v>
      </c>
      <c r="C6" s="1" t="s">
        <v>119</v>
      </c>
      <c r="D6" s="1"/>
      <c r="E6" s="1" t="s">
        <v>120</v>
      </c>
      <c r="F6" s="1" t="s">
        <v>121</v>
      </c>
      <c r="G6" s="1" t="s">
        <v>122</v>
      </c>
      <c r="H6" s="1" t="s">
        <v>123</v>
      </c>
      <c r="I6" s="1" t="s">
        <v>123</v>
      </c>
      <c r="J6" s="1" t="s">
        <v>124</v>
      </c>
      <c r="K6" s="1" t="s">
        <v>124</v>
      </c>
      <c r="L6" s="1" t="s">
        <v>124</v>
      </c>
      <c r="M6" s="1"/>
      <c r="N6" s="1"/>
    </row>
    <row r="7" customFormat="false" ht="15" hidden="false" customHeight="false" outlineLevel="0" collapsed="false">
      <c r="A7" s="69" t="n">
        <v>1</v>
      </c>
      <c r="B7" s="70" t="s">
        <v>13</v>
      </c>
      <c r="C7" s="40" t="n">
        <v>93.570837</v>
      </c>
      <c r="D7" s="1" t="n">
        <v>11</v>
      </c>
      <c r="E7" s="40" t="n">
        <v>37.4</v>
      </c>
      <c r="F7" s="62" t="n">
        <v>107.5</v>
      </c>
      <c r="G7" s="62" t="n">
        <v>31.6929134</v>
      </c>
      <c r="H7" s="1"/>
      <c r="I7" s="65"/>
      <c r="J7" s="1"/>
      <c r="K7" s="71"/>
      <c r="L7" s="1"/>
      <c r="M7" s="1"/>
      <c r="N7" s="65"/>
    </row>
    <row r="8" customFormat="false" ht="15" hidden="false" customHeight="false" outlineLevel="0" collapsed="false">
      <c r="A8" s="69" t="n">
        <v>2</v>
      </c>
      <c r="B8" s="8" t="s">
        <v>15</v>
      </c>
      <c r="C8" s="40" t="n">
        <v>97.118233</v>
      </c>
      <c r="D8" s="1" t="n">
        <v>9</v>
      </c>
      <c r="E8" s="40" t="n">
        <v>35.15</v>
      </c>
      <c r="F8" s="62" t="n">
        <v>104</v>
      </c>
      <c r="G8" s="62" t="n">
        <v>39.5669291</v>
      </c>
      <c r="H8" s="1"/>
      <c r="I8" s="65"/>
      <c r="J8" s="1"/>
      <c r="K8" s="71"/>
      <c r="L8" s="1"/>
      <c r="M8" s="1"/>
      <c r="N8" s="65"/>
    </row>
    <row r="9" customFormat="false" ht="15" hidden="false" customHeight="false" outlineLevel="0" collapsed="false">
      <c r="A9" s="69" t="n">
        <v>3</v>
      </c>
      <c r="B9" s="72" t="s">
        <v>17</v>
      </c>
      <c r="C9" s="40" t="n">
        <v>109.712302</v>
      </c>
      <c r="D9" s="1" t="n">
        <v>2</v>
      </c>
      <c r="E9" s="40" t="n">
        <v>36.85</v>
      </c>
      <c r="F9" s="62" t="n">
        <v>106.5</v>
      </c>
      <c r="G9" s="62" t="n">
        <v>35.4330709</v>
      </c>
      <c r="H9" s="1"/>
      <c r="I9" s="65"/>
      <c r="J9" s="1"/>
      <c r="K9" s="71"/>
      <c r="L9" s="1"/>
      <c r="M9" s="1"/>
      <c r="N9" s="65"/>
    </row>
    <row r="10" customFormat="false" ht="15" hidden="false" customHeight="false" outlineLevel="0" collapsed="false">
      <c r="A10" s="69" t="n">
        <v>4</v>
      </c>
      <c r="B10" s="72" t="s">
        <v>19</v>
      </c>
      <c r="C10" s="40" t="n">
        <v>80.249767</v>
      </c>
      <c r="D10" s="1" t="n">
        <v>23</v>
      </c>
      <c r="E10" s="40" t="n">
        <v>36.85</v>
      </c>
      <c r="F10" s="62" t="n">
        <v>110.5</v>
      </c>
      <c r="G10" s="62" t="n">
        <v>33.0708661</v>
      </c>
      <c r="H10" s="1"/>
      <c r="I10" s="65"/>
      <c r="J10" s="1"/>
      <c r="K10" s="71"/>
      <c r="L10" s="1"/>
      <c r="M10" s="1"/>
      <c r="N10" s="65"/>
    </row>
    <row r="11" customFormat="false" ht="15" hidden="false" customHeight="false" outlineLevel="0" collapsed="false">
      <c r="A11" s="69" t="n">
        <v>5</v>
      </c>
      <c r="B11" s="8" t="s">
        <v>21</v>
      </c>
      <c r="C11" s="40" t="n">
        <v>72.277814</v>
      </c>
      <c r="D11" s="1" t="n">
        <v>25</v>
      </c>
      <c r="E11" s="40" t="n">
        <v>35.1</v>
      </c>
      <c r="F11" s="62" t="n">
        <v>102</v>
      </c>
      <c r="G11" s="62" t="n">
        <v>30.3149606</v>
      </c>
      <c r="H11" s="1"/>
      <c r="I11" s="65"/>
      <c r="J11" s="1"/>
      <c r="K11" s="1"/>
      <c r="L11" s="1"/>
      <c r="M11" s="1"/>
      <c r="N11" s="65"/>
    </row>
    <row r="12" customFormat="false" ht="15" hidden="false" customHeight="false" outlineLevel="0" collapsed="false">
      <c r="A12" s="69" t="n">
        <v>6</v>
      </c>
      <c r="B12" s="8" t="s">
        <v>23</v>
      </c>
      <c r="C12" s="40" t="n">
        <v>90.008698</v>
      </c>
      <c r="D12" s="1" t="n">
        <v>19</v>
      </c>
      <c r="E12" s="40" t="n">
        <v>32.75</v>
      </c>
      <c r="F12" s="62" t="n">
        <v>103</v>
      </c>
      <c r="G12" s="62" t="n">
        <v>36.4173228</v>
      </c>
      <c r="H12" s="1"/>
      <c r="I12" s="65"/>
      <c r="J12" s="1"/>
      <c r="K12" s="71"/>
      <c r="L12" s="1"/>
      <c r="M12" s="1"/>
      <c r="N12" s="65"/>
    </row>
    <row r="13" customFormat="false" ht="15" hidden="false" customHeight="false" outlineLevel="0" collapsed="false">
      <c r="A13" s="69" t="n">
        <v>7</v>
      </c>
      <c r="B13" s="8" t="s">
        <v>25</v>
      </c>
      <c r="C13" s="40" t="n">
        <v>75.164442</v>
      </c>
      <c r="D13" s="1" t="n">
        <v>24</v>
      </c>
      <c r="E13" s="40" t="n">
        <v>38.2</v>
      </c>
      <c r="F13" s="62" t="n">
        <v>109.5</v>
      </c>
      <c r="G13" s="62" t="n">
        <v>35.0393701</v>
      </c>
      <c r="H13" s="1"/>
      <c r="I13" s="65"/>
      <c r="J13" s="1"/>
      <c r="K13" s="71"/>
      <c r="L13" s="1"/>
      <c r="M13" s="1"/>
      <c r="N13" s="65"/>
    </row>
    <row r="14" customFormat="false" ht="15" hidden="false" customHeight="false" outlineLevel="0" collapsed="false">
      <c r="A14" s="69" t="n">
        <v>8</v>
      </c>
      <c r="B14" s="8" t="s">
        <v>27</v>
      </c>
      <c r="C14" s="40" t="n">
        <v>88.637163</v>
      </c>
      <c r="D14" s="1" t="n">
        <v>20</v>
      </c>
      <c r="E14" s="40" t="n">
        <v>37.1</v>
      </c>
      <c r="F14" s="62" t="n">
        <v>105.5</v>
      </c>
      <c r="G14" s="62" t="n">
        <v>36.4173228</v>
      </c>
      <c r="H14" s="1"/>
      <c r="I14" s="65"/>
      <c r="J14" s="1"/>
      <c r="K14" s="1"/>
      <c r="L14" s="1"/>
      <c r="M14" s="1"/>
      <c r="N14" s="65"/>
    </row>
    <row r="15" customFormat="false" ht="15" hidden="false" customHeight="false" outlineLevel="0" collapsed="false">
      <c r="A15" s="69" t="n">
        <v>9</v>
      </c>
      <c r="B15" s="8" t="s">
        <v>29</v>
      </c>
      <c r="C15" s="40" t="n">
        <v>99.84012</v>
      </c>
      <c r="D15" s="1" t="n">
        <v>6</v>
      </c>
      <c r="E15" s="40" t="n">
        <v>35.8333333</v>
      </c>
      <c r="F15" s="62" t="n">
        <v>112</v>
      </c>
      <c r="G15" s="62" t="n">
        <v>35.6299213</v>
      </c>
      <c r="H15" s="1"/>
      <c r="I15" s="65"/>
      <c r="J15" s="1"/>
      <c r="K15" s="1"/>
      <c r="L15" s="1"/>
      <c r="M15" s="1"/>
      <c r="N15" s="65"/>
    </row>
    <row r="16" customFormat="false" ht="15" hidden="false" customHeight="false" outlineLevel="0" collapsed="false">
      <c r="A16" s="69" t="n">
        <v>10</v>
      </c>
      <c r="B16" s="8" t="s">
        <v>31</v>
      </c>
      <c r="C16" s="40" t="n">
        <v>91.063256</v>
      </c>
      <c r="D16" s="1" t="n">
        <v>16</v>
      </c>
      <c r="E16" s="40" t="n">
        <v>37.15</v>
      </c>
      <c r="F16" s="62" t="n">
        <v>109.5</v>
      </c>
      <c r="G16" s="62" t="n">
        <v>39.9606299</v>
      </c>
      <c r="H16" s="1"/>
      <c r="I16" s="65"/>
      <c r="J16" s="1"/>
      <c r="K16" s="1"/>
      <c r="L16" s="1"/>
      <c r="M16" s="1"/>
      <c r="N16" s="65"/>
    </row>
    <row r="17" customFormat="false" ht="15" hidden="false" customHeight="false" outlineLevel="0" collapsed="false">
      <c r="A17" s="69" t="n">
        <v>11</v>
      </c>
      <c r="B17" s="8" t="s">
        <v>33</v>
      </c>
      <c r="C17" s="40" t="n">
        <v>90.232605</v>
      </c>
      <c r="D17" s="1" t="n">
        <v>17</v>
      </c>
      <c r="E17" s="40" t="n">
        <v>36.2</v>
      </c>
      <c r="F17" s="62" t="n">
        <v>105.5</v>
      </c>
      <c r="G17" s="62" t="n">
        <v>33.6614173</v>
      </c>
      <c r="H17" s="1"/>
      <c r="I17" s="65"/>
      <c r="J17" s="1"/>
      <c r="K17" s="1"/>
      <c r="L17" s="1"/>
      <c r="M17" s="1"/>
    </row>
    <row r="18" customFormat="false" ht="15" hidden="false" customHeight="false" outlineLevel="0" collapsed="false">
      <c r="A18" s="69" t="n">
        <v>12</v>
      </c>
      <c r="B18" s="8" t="s">
        <v>35</v>
      </c>
      <c r="C18" s="40" t="n">
        <v>80.678674</v>
      </c>
      <c r="D18" s="1" t="n">
        <v>22</v>
      </c>
      <c r="E18" s="40" t="n">
        <v>34.6</v>
      </c>
      <c r="F18" s="62" t="n">
        <v>109</v>
      </c>
      <c r="G18" s="62" t="n">
        <v>35.6299213</v>
      </c>
      <c r="H18" s="1"/>
      <c r="I18" s="65"/>
      <c r="J18" s="1"/>
      <c r="K18" s="1"/>
      <c r="L18" s="1"/>
      <c r="M18" s="1"/>
    </row>
    <row r="19" customFormat="false" ht="15" hidden="false" customHeight="false" outlineLevel="0" collapsed="false">
      <c r="A19" s="69" t="n">
        <v>13</v>
      </c>
      <c r="B19" s="8" t="s">
        <v>37</v>
      </c>
      <c r="C19" s="40" t="n">
        <v>105.909279</v>
      </c>
      <c r="D19" s="1" t="n">
        <v>3</v>
      </c>
      <c r="E19" s="40" t="n">
        <v>38.5</v>
      </c>
      <c r="F19" s="62" t="n">
        <v>107</v>
      </c>
      <c r="G19" s="62" t="n">
        <v>33.6614173</v>
      </c>
      <c r="H19" s="1"/>
      <c r="I19" s="65"/>
      <c r="J19" s="1"/>
      <c r="K19" s="1"/>
      <c r="L19" s="1"/>
      <c r="M19" s="1"/>
    </row>
    <row r="20" customFormat="false" ht="15" hidden="false" customHeight="false" outlineLevel="0" collapsed="false">
      <c r="A20" s="69" t="n">
        <v>14</v>
      </c>
      <c r="B20" s="8" t="s">
        <v>39</v>
      </c>
      <c r="C20" s="40" t="n">
        <v>93.85393</v>
      </c>
      <c r="D20" s="1" t="n">
        <v>10</v>
      </c>
      <c r="E20" s="40" t="n">
        <v>35.8</v>
      </c>
      <c r="F20" s="62" t="n">
        <v>108.5</v>
      </c>
      <c r="G20" s="62" t="n">
        <v>33.0708661</v>
      </c>
      <c r="H20" s="1"/>
      <c r="I20" s="65"/>
      <c r="J20" s="1"/>
      <c r="K20" s="1"/>
      <c r="L20" s="1"/>
      <c r="M20" s="1"/>
    </row>
    <row r="21" customFormat="false" ht="15" hidden="false" customHeight="false" outlineLevel="0" collapsed="false">
      <c r="A21" s="69" t="n">
        <v>15</v>
      </c>
      <c r="B21" s="8" t="s">
        <v>41</v>
      </c>
      <c r="C21" s="40" t="n">
        <v>85.707953</v>
      </c>
      <c r="D21" s="1" t="n">
        <v>21</v>
      </c>
      <c r="E21" s="40" t="n">
        <v>35</v>
      </c>
      <c r="F21" s="62" t="n">
        <v>106.5</v>
      </c>
      <c r="G21" s="62" t="n">
        <v>33.8582677</v>
      </c>
      <c r="H21" s="1"/>
      <c r="I21" s="65"/>
      <c r="J21" s="1"/>
      <c r="K21" s="1"/>
      <c r="L21" s="1"/>
      <c r="M21" s="1"/>
    </row>
    <row r="22" customFormat="false" ht="15" hidden="false" customHeight="false" outlineLevel="0" collapsed="false">
      <c r="A22" s="69" t="n">
        <v>16</v>
      </c>
      <c r="B22" s="8" t="s">
        <v>43</v>
      </c>
      <c r="C22" s="40" t="n">
        <v>99.130578</v>
      </c>
      <c r="D22" s="1" t="n">
        <v>8</v>
      </c>
      <c r="E22" s="40" t="n">
        <v>37.4666667</v>
      </c>
      <c r="F22" s="62" t="n">
        <v>104.5</v>
      </c>
      <c r="G22" s="62" t="n">
        <v>37.007874</v>
      </c>
      <c r="H22" s="1"/>
      <c r="I22" s="65"/>
      <c r="J22" s="1"/>
      <c r="K22" s="1"/>
      <c r="L22" s="1"/>
      <c r="M22" s="1"/>
    </row>
    <row r="23" customFormat="false" ht="15" hidden="false" customHeight="false" outlineLevel="0" collapsed="false">
      <c r="A23" s="69" t="n">
        <v>17</v>
      </c>
      <c r="B23" s="8" t="s">
        <v>45</v>
      </c>
      <c r="C23" s="40" t="n">
        <v>99.838911</v>
      </c>
      <c r="D23" s="1" t="n">
        <v>7</v>
      </c>
      <c r="E23" s="40" t="n">
        <v>37.0333333</v>
      </c>
      <c r="F23" s="62" t="n">
        <v>113</v>
      </c>
      <c r="G23" s="62" t="n">
        <v>33.2677165</v>
      </c>
      <c r="H23" s="1"/>
      <c r="I23" s="65"/>
      <c r="J23" s="1"/>
      <c r="K23" s="1"/>
      <c r="L23" s="1"/>
      <c r="M23" s="1"/>
    </row>
    <row r="24" customFormat="false" ht="15" hidden="false" customHeight="false" outlineLevel="0" collapsed="false">
      <c r="A24" s="69" t="n">
        <v>18</v>
      </c>
      <c r="B24" s="8" t="s">
        <v>47</v>
      </c>
      <c r="C24" s="40" t="n">
        <v>91.713163</v>
      </c>
      <c r="D24" s="1" t="n">
        <v>14</v>
      </c>
      <c r="E24" s="40" t="n">
        <v>36.25</v>
      </c>
      <c r="F24" s="62" t="n">
        <v>104</v>
      </c>
      <c r="G24" s="62" t="n">
        <v>37.4015748</v>
      </c>
      <c r="H24" s="1"/>
      <c r="I24" s="65"/>
      <c r="J24" s="1"/>
      <c r="K24" s="1"/>
      <c r="L24" s="1"/>
      <c r="M24" s="1"/>
    </row>
    <row r="25" customFormat="false" ht="15" hidden="false" customHeight="false" outlineLevel="0" collapsed="false">
      <c r="A25" s="69" t="n">
        <v>19</v>
      </c>
      <c r="B25" s="8" t="s">
        <v>49</v>
      </c>
      <c r="C25" s="40" t="n">
        <v>90.055508</v>
      </c>
      <c r="D25" s="1" t="n">
        <v>18</v>
      </c>
      <c r="E25" s="40" t="n">
        <v>38.0666667</v>
      </c>
      <c r="F25" s="62" t="n">
        <v>108.5</v>
      </c>
      <c r="G25" s="62" t="n">
        <v>32.6771654</v>
      </c>
      <c r="H25" s="1"/>
      <c r="I25" s="65"/>
      <c r="J25" s="1"/>
      <c r="K25" s="1"/>
      <c r="L25" s="1"/>
      <c r="M25" s="1"/>
    </row>
    <row r="26" customFormat="false" ht="15" hidden="false" customHeight="false" outlineLevel="0" collapsed="false">
      <c r="A26" s="69" t="n">
        <v>20</v>
      </c>
      <c r="B26" s="8" t="s">
        <v>51</v>
      </c>
      <c r="C26" s="40" t="n">
        <v>110.275302</v>
      </c>
      <c r="D26" s="1" t="n">
        <v>1</v>
      </c>
      <c r="E26" s="40" t="n">
        <v>36.95</v>
      </c>
      <c r="F26" s="62" t="n">
        <v>107</v>
      </c>
      <c r="G26" s="62" t="n">
        <v>32.2834646</v>
      </c>
      <c r="H26" s="1"/>
      <c r="I26" s="65"/>
      <c r="J26" s="1"/>
      <c r="K26" s="1"/>
      <c r="L26" s="1"/>
      <c r="M26" s="1"/>
    </row>
    <row r="27" customFormat="false" ht="15" hidden="false" customHeight="false" outlineLevel="0" collapsed="false">
      <c r="A27" s="69" t="n">
        <v>21</v>
      </c>
      <c r="B27" s="8" t="s">
        <v>53</v>
      </c>
      <c r="C27" s="40" t="n">
        <v>92.99802</v>
      </c>
      <c r="D27" s="1" t="n">
        <v>12</v>
      </c>
      <c r="E27" s="40" t="n">
        <v>35.55</v>
      </c>
      <c r="F27" s="62" t="n">
        <v>108</v>
      </c>
      <c r="G27" s="62" t="n">
        <v>36.4173228</v>
      </c>
      <c r="H27" s="1"/>
      <c r="I27" s="65"/>
      <c r="J27" s="1"/>
      <c r="K27" s="1"/>
      <c r="L27" s="1"/>
      <c r="M27" s="1"/>
    </row>
    <row r="28" customFormat="false" ht="15" hidden="false" customHeight="false" outlineLevel="0" collapsed="false">
      <c r="A28" s="69" t="n">
        <v>22</v>
      </c>
      <c r="B28" s="8" t="s">
        <v>55</v>
      </c>
      <c r="C28" s="40" t="n">
        <v>92.686512</v>
      </c>
      <c r="D28" s="1" t="n">
        <v>13</v>
      </c>
      <c r="E28" s="40" t="n">
        <v>36.6</v>
      </c>
      <c r="F28" s="62" t="n">
        <v>103</v>
      </c>
      <c r="G28" s="62" t="n">
        <v>36.2204724</v>
      </c>
      <c r="H28" s="1"/>
      <c r="I28" s="65"/>
      <c r="J28" s="1"/>
      <c r="K28" s="1"/>
      <c r="L28" s="1"/>
      <c r="M28" s="1"/>
    </row>
    <row r="29" customFormat="false" ht="15" hidden="false" customHeight="false" outlineLevel="0" collapsed="false">
      <c r="A29" s="69" t="n">
        <v>23</v>
      </c>
      <c r="B29" s="8" t="s">
        <v>57</v>
      </c>
      <c r="C29" s="40" t="n">
        <v>91.624818</v>
      </c>
      <c r="D29" s="1" t="n">
        <v>15</v>
      </c>
      <c r="E29" s="40" t="n">
        <v>35.95</v>
      </c>
      <c r="F29" s="62" t="n">
        <v>106.5</v>
      </c>
      <c r="G29" s="62" t="n">
        <v>34.6456693</v>
      </c>
      <c r="H29" s="1"/>
      <c r="I29" s="65"/>
      <c r="J29" s="1"/>
      <c r="K29" s="1"/>
      <c r="L29" s="1"/>
      <c r="M29" s="1"/>
    </row>
    <row r="30" customFormat="false" ht="15" hidden="false" customHeight="false" outlineLevel="0" collapsed="false">
      <c r="A30" s="69" t="n">
        <v>24</v>
      </c>
      <c r="B30" s="8" t="s">
        <v>59</v>
      </c>
      <c r="C30" s="40" t="n">
        <v>100.831628</v>
      </c>
      <c r="D30" s="1" t="n">
        <v>5</v>
      </c>
      <c r="E30" s="40" t="n">
        <v>36</v>
      </c>
      <c r="F30" s="62" t="n">
        <v>105.5</v>
      </c>
      <c r="G30" s="62" t="n">
        <v>37.007874</v>
      </c>
      <c r="H30" s="1"/>
      <c r="I30" s="65"/>
      <c r="J30" s="1"/>
      <c r="K30" s="1"/>
      <c r="L30" s="1"/>
      <c r="M30" s="1"/>
    </row>
    <row r="31" customFormat="false" ht="15" hidden="false" customHeight="false" outlineLevel="0" collapsed="false">
      <c r="A31" s="69" t="n">
        <v>25</v>
      </c>
      <c r="B31" s="8" t="s">
        <v>61</v>
      </c>
      <c r="C31" s="40" t="n">
        <v>102.216488</v>
      </c>
      <c r="D31" s="1" t="n">
        <v>4</v>
      </c>
      <c r="E31" s="40" t="n">
        <v>37.35</v>
      </c>
      <c r="F31" s="62" t="n">
        <v>102.5</v>
      </c>
      <c r="G31" s="62" t="n">
        <v>40.7480315</v>
      </c>
      <c r="H31" s="1"/>
      <c r="I31" s="65"/>
      <c r="J31" s="1"/>
      <c r="K31" s="1"/>
      <c r="L31" s="1"/>
      <c r="M31" s="1"/>
    </row>
    <row r="32" customFormat="false" ht="15" hidden="false" customHeight="false" outlineLevel="0" collapsed="false">
      <c r="A32" s="65"/>
      <c r="B32" s="47" t="s">
        <v>63</v>
      </c>
      <c r="C32" s="40" t="n">
        <v>92.666001</v>
      </c>
      <c r="D32" s="40"/>
      <c r="E32" s="40" t="n">
        <v>36.326087</v>
      </c>
      <c r="F32" s="62" t="n">
        <v>106.76</v>
      </c>
      <c r="G32" s="62" t="n">
        <v>35.2440945</v>
      </c>
      <c r="H32" s="65"/>
      <c r="I32" s="65"/>
      <c r="J32" s="65"/>
      <c r="K32" s="65"/>
      <c r="L32" s="65"/>
      <c r="M32" s="65"/>
    </row>
    <row r="33" customFormat="false" ht="15" hidden="false" customHeight="false" outlineLevel="0" collapsed="false">
      <c r="A33" s="65"/>
      <c r="B33" s="47" t="s">
        <v>64</v>
      </c>
      <c r="C33" s="40" t="n">
        <v>10.875689</v>
      </c>
      <c r="D33" s="40"/>
      <c r="E33" s="40" t="n">
        <v>4.6196658</v>
      </c>
      <c r="F33" s="40" t="n">
        <v>1.361144</v>
      </c>
      <c r="G33" s="40" t="n">
        <v>6.9360289</v>
      </c>
      <c r="H33" s="3"/>
      <c r="I33" s="3"/>
    </row>
    <row r="34" customFormat="false" ht="15" hidden="false" customHeight="false" outlineLevel="0" collapsed="false">
      <c r="A34" s="65"/>
      <c r="B34" s="47" t="s">
        <v>92</v>
      </c>
      <c r="C34" s="40" t="n">
        <v>20.353068</v>
      </c>
      <c r="D34" s="40"/>
      <c r="E34" s="40" t="n">
        <v>3.3890802</v>
      </c>
      <c r="F34" s="62" t="n">
        <v>2.934711</v>
      </c>
      <c r="G34" s="62" t="n">
        <v>4.9368498</v>
      </c>
      <c r="H34" s="3"/>
      <c r="I34" s="3"/>
    </row>
    <row r="35" customFormat="false" ht="15" hidden="false" customHeight="false" outlineLevel="0" collapsed="false">
      <c r="A35" s="48"/>
      <c r="B35" s="47" t="s">
        <v>93</v>
      </c>
      <c r="C35" s="65"/>
      <c r="D35" s="65"/>
      <c r="E35" s="65"/>
      <c r="F35" s="65"/>
      <c r="G35" s="65"/>
      <c r="H35" s="3"/>
      <c r="I35" s="3"/>
    </row>
    <row r="36" customFormat="false" ht="15" hidden="false" customHeight="false" outlineLevel="0" collapsed="false">
      <c r="A36" s="65"/>
      <c r="B36" s="47" t="s">
        <v>94</v>
      </c>
      <c r="C36" s="65"/>
      <c r="D36" s="65"/>
      <c r="E36" s="65"/>
      <c r="F36" s="65"/>
      <c r="G36" s="65"/>
      <c r="H36" s="3"/>
      <c r="I36" s="3"/>
    </row>
    <row r="37" customFormat="false" ht="15" hidden="false" customHeight="false" outlineLevel="0" collapsed="false">
      <c r="A37" s="65"/>
      <c r="B37" s="47" t="s">
        <v>95</v>
      </c>
      <c r="C37" s="73" t="n">
        <v>0.744524</v>
      </c>
      <c r="D37" s="73"/>
      <c r="E37" s="73" t="n">
        <v>0.5884864</v>
      </c>
      <c r="F37" s="73" t="n">
        <v>0.889132</v>
      </c>
      <c r="G37" s="73" t="n">
        <v>0.691211</v>
      </c>
      <c r="H37" s="3"/>
      <c r="I37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G33" activeCellId="0" sqref="G33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13.71"/>
    <col collapsed="false" customWidth="true" hidden="false" outlineLevel="0" max="4" min="4" style="0" width="20.4"/>
    <col collapsed="false" customWidth="true" hidden="false" outlineLevel="0" max="5" min="5" style="0" width="13.89"/>
    <col collapsed="false" customWidth="true" hidden="false" outlineLevel="0" max="7" min="7" style="0" width="12.68"/>
  </cols>
  <sheetData>
    <row r="1" customFormat="false" ht="15" hidden="false" customHeight="false" outlineLevel="0" collapsed="false">
      <c r="A1" s="74" t="s">
        <v>139</v>
      </c>
      <c r="B1" s="74" t="s">
        <v>140</v>
      </c>
      <c r="C1" s="74" t="s">
        <v>141</v>
      </c>
      <c r="D1" s="74" t="s">
        <v>142</v>
      </c>
      <c r="E1" s="75" t="s">
        <v>143</v>
      </c>
      <c r="F1" s="75" t="s">
        <v>144</v>
      </c>
      <c r="G1" s="75" t="s">
        <v>145</v>
      </c>
      <c r="H1" s="75" t="s">
        <v>146</v>
      </c>
      <c r="I1" s="76" t="s">
        <v>147</v>
      </c>
    </row>
    <row r="2" customFormat="false" ht="15" hidden="false" customHeight="false" outlineLevel="0" collapsed="false">
      <c r="A2" s="77" t="n">
        <v>101</v>
      </c>
      <c r="B2" s="77" t="n">
        <v>1</v>
      </c>
      <c r="C2" s="77" t="s">
        <v>13</v>
      </c>
      <c r="D2" s="77" t="s">
        <v>14</v>
      </c>
      <c r="E2" s="78" t="n">
        <v>2</v>
      </c>
      <c r="F2" s="78" t="n">
        <v>2</v>
      </c>
      <c r="G2" s="78" t="n">
        <v>8.5</v>
      </c>
      <c r="H2" s="78" t="n">
        <v>100</v>
      </c>
      <c r="I2" s="79" t="n">
        <v>6</v>
      </c>
    </row>
    <row r="3" customFormat="false" ht="15" hidden="false" customHeight="false" outlineLevel="0" collapsed="false">
      <c r="A3" s="77" t="n">
        <v>102</v>
      </c>
      <c r="B3" s="77" t="n">
        <v>2</v>
      </c>
      <c r="C3" s="77" t="s">
        <v>15</v>
      </c>
      <c r="D3" s="77" t="s">
        <v>16</v>
      </c>
      <c r="E3" s="78" t="n">
        <v>3</v>
      </c>
      <c r="F3" s="78" t="n">
        <v>5</v>
      </c>
      <c r="G3" s="78" t="n">
        <v>7.5</v>
      </c>
      <c r="H3" s="78" t="n">
        <v>98</v>
      </c>
      <c r="I3" s="79" t="n">
        <v>3</v>
      </c>
    </row>
    <row r="4" customFormat="false" ht="15" hidden="false" customHeight="false" outlineLevel="0" collapsed="false">
      <c r="A4" s="77" t="n">
        <v>103</v>
      </c>
      <c r="B4" s="77" t="n">
        <v>3</v>
      </c>
      <c r="C4" s="77" t="s">
        <v>17</v>
      </c>
      <c r="D4" s="77" t="s">
        <v>18</v>
      </c>
      <c r="E4" s="78" t="n">
        <v>2</v>
      </c>
      <c r="F4" s="78" t="n">
        <v>2</v>
      </c>
      <c r="G4" s="78" t="n">
        <v>9</v>
      </c>
      <c r="H4" s="78" t="n">
        <v>99</v>
      </c>
      <c r="I4" s="79" t="n">
        <v>3.5</v>
      </c>
    </row>
    <row r="5" customFormat="false" ht="15" hidden="false" customHeight="false" outlineLevel="0" collapsed="false">
      <c r="A5" s="77" t="n">
        <v>104</v>
      </c>
      <c r="B5" s="77" t="n">
        <v>4</v>
      </c>
      <c r="C5" s="77" t="s">
        <v>19</v>
      </c>
      <c r="D5" s="77" t="s">
        <v>20</v>
      </c>
      <c r="E5" s="78" t="n">
        <v>1</v>
      </c>
      <c r="F5" s="78" t="n">
        <v>2</v>
      </c>
      <c r="G5" s="78" t="n">
        <v>8</v>
      </c>
      <c r="H5" s="78" t="n">
        <v>96</v>
      </c>
      <c r="I5" s="79" t="n">
        <v>0</v>
      </c>
    </row>
    <row r="6" customFormat="false" ht="15" hidden="false" customHeight="false" outlineLevel="0" collapsed="false">
      <c r="A6" s="77" t="n">
        <v>105</v>
      </c>
      <c r="B6" s="77" t="n">
        <v>5</v>
      </c>
      <c r="C6" s="77" t="s">
        <v>21</v>
      </c>
      <c r="D6" s="77" t="s">
        <v>22</v>
      </c>
      <c r="E6" s="78" t="n">
        <v>3</v>
      </c>
      <c r="F6" s="78" t="n">
        <v>4</v>
      </c>
      <c r="G6" s="78" t="n">
        <v>9</v>
      </c>
      <c r="H6" s="78" t="n">
        <v>101</v>
      </c>
      <c r="I6" s="79" t="n">
        <v>1</v>
      </c>
    </row>
    <row r="7" customFormat="false" ht="15" hidden="false" customHeight="false" outlineLevel="0" collapsed="false">
      <c r="A7" s="77" t="n">
        <v>106</v>
      </c>
      <c r="B7" s="77" t="n">
        <v>6</v>
      </c>
      <c r="C7" s="77" t="s">
        <v>23</v>
      </c>
      <c r="D7" s="77" t="s">
        <v>24</v>
      </c>
      <c r="E7" s="78" t="n">
        <v>4</v>
      </c>
      <c r="F7" s="78" t="n">
        <v>6</v>
      </c>
      <c r="G7" s="78" t="n">
        <v>7.5</v>
      </c>
      <c r="H7" s="78" t="n">
        <v>101</v>
      </c>
      <c r="I7" s="79" t="n">
        <v>0.5</v>
      </c>
    </row>
    <row r="8" customFormat="false" ht="15" hidden="false" customHeight="false" outlineLevel="0" collapsed="false">
      <c r="A8" s="77" t="n">
        <v>107</v>
      </c>
      <c r="B8" s="77" t="n">
        <v>7</v>
      </c>
      <c r="C8" s="77" t="s">
        <v>25</v>
      </c>
      <c r="D8" s="77" t="s">
        <v>26</v>
      </c>
      <c r="E8" s="78" t="n">
        <v>3</v>
      </c>
      <c r="F8" s="78" t="n">
        <v>3</v>
      </c>
      <c r="G8" s="78" t="n">
        <v>8.5</v>
      </c>
      <c r="H8" s="78" t="n">
        <v>102</v>
      </c>
      <c r="I8" s="79" t="n">
        <v>0</v>
      </c>
    </row>
    <row r="9" customFormat="false" ht="15" hidden="false" customHeight="false" outlineLevel="0" collapsed="false">
      <c r="A9" s="77" t="n">
        <v>108</v>
      </c>
      <c r="B9" s="77" t="n">
        <v>8</v>
      </c>
      <c r="C9" s="77" t="s">
        <v>27</v>
      </c>
      <c r="D9" s="77" t="s">
        <v>28</v>
      </c>
      <c r="E9" s="78" t="n">
        <v>2</v>
      </c>
      <c r="F9" s="78" t="n">
        <v>2</v>
      </c>
      <c r="G9" s="78" t="n">
        <v>8.5</v>
      </c>
      <c r="H9" s="78" t="n">
        <v>97</v>
      </c>
      <c r="I9" s="79" t="n">
        <v>1.5</v>
      </c>
    </row>
    <row r="10" customFormat="false" ht="15" hidden="false" customHeight="false" outlineLevel="0" collapsed="false">
      <c r="A10" s="77" t="n">
        <v>109</v>
      </c>
      <c r="B10" s="77" t="n">
        <v>9</v>
      </c>
      <c r="C10" s="77" t="s">
        <v>29</v>
      </c>
      <c r="D10" s="77" t="s">
        <v>30</v>
      </c>
      <c r="E10" s="78" t="n">
        <v>1</v>
      </c>
      <c r="F10" s="78" t="n">
        <v>3</v>
      </c>
      <c r="G10" s="78" t="n">
        <v>8</v>
      </c>
      <c r="H10" s="78" t="n">
        <v>98</v>
      </c>
      <c r="I10" s="79" t="n">
        <v>1</v>
      </c>
    </row>
    <row r="11" customFormat="false" ht="15" hidden="false" customHeight="false" outlineLevel="0" collapsed="false">
      <c r="A11" s="77" t="n">
        <v>110</v>
      </c>
      <c r="B11" s="77" t="n">
        <v>10</v>
      </c>
      <c r="C11" s="77" t="s">
        <v>31</v>
      </c>
      <c r="D11" s="77" t="s">
        <v>32</v>
      </c>
      <c r="E11" s="78" t="n">
        <v>2</v>
      </c>
      <c r="F11" s="78" t="n">
        <v>2</v>
      </c>
      <c r="G11" s="78" t="n">
        <v>9</v>
      </c>
      <c r="H11" s="78" t="n">
        <v>102</v>
      </c>
      <c r="I11" s="79" t="n">
        <v>2</v>
      </c>
    </row>
    <row r="12" customFormat="false" ht="15" hidden="false" customHeight="false" outlineLevel="0" collapsed="false">
      <c r="A12" s="77" t="n">
        <v>111</v>
      </c>
      <c r="B12" s="77" t="n">
        <v>11</v>
      </c>
      <c r="C12" s="77" t="s">
        <v>33</v>
      </c>
      <c r="D12" s="77" t="s">
        <v>34</v>
      </c>
      <c r="E12" s="78" t="n">
        <v>2</v>
      </c>
      <c r="F12" s="78" t="n">
        <v>4</v>
      </c>
      <c r="G12" s="78" t="n">
        <v>8</v>
      </c>
      <c r="H12" s="78" t="n">
        <v>100</v>
      </c>
      <c r="I12" s="79" t="n">
        <v>1.5</v>
      </c>
    </row>
    <row r="13" customFormat="false" ht="15" hidden="false" customHeight="false" outlineLevel="0" collapsed="false">
      <c r="A13" s="77" t="n">
        <v>112</v>
      </c>
      <c r="B13" s="77" t="n">
        <v>12</v>
      </c>
      <c r="C13" s="77" t="s">
        <v>35</v>
      </c>
      <c r="D13" s="77" t="s">
        <v>36</v>
      </c>
      <c r="E13" s="78" t="n">
        <v>2</v>
      </c>
      <c r="F13" s="78" t="n">
        <v>2</v>
      </c>
      <c r="G13" s="78" t="n">
        <v>8.5</v>
      </c>
      <c r="H13" s="78" t="n">
        <v>102</v>
      </c>
      <c r="I13" s="79" t="n">
        <v>6</v>
      </c>
    </row>
    <row r="14" customFormat="false" ht="15" hidden="false" customHeight="false" outlineLevel="0" collapsed="false">
      <c r="A14" s="77" t="n">
        <v>113</v>
      </c>
      <c r="B14" s="77" t="n">
        <v>13</v>
      </c>
      <c r="C14" s="77" t="s">
        <v>37</v>
      </c>
      <c r="D14" s="77" t="s">
        <v>38</v>
      </c>
      <c r="E14" s="78" t="n">
        <v>1</v>
      </c>
      <c r="F14" s="78" t="n">
        <v>2</v>
      </c>
      <c r="G14" s="78" t="n">
        <v>8</v>
      </c>
      <c r="H14" s="78" t="n">
        <v>96</v>
      </c>
      <c r="I14" s="79" t="n">
        <v>8.5</v>
      </c>
    </row>
    <row r="15" customFormat="false" ht="15" hidden="false" customHeight="false" outlineLevel="0" collapsed="false">
      <c r="A15" s="77" t="n">
        <v>114</v>
      </c>
      <c r="B15" s="77" t="n">
        <v>14</v>
      </c>
      <c r="C15" s="77" t="s">
        <v>39</v>
      </c>
      <c r="D15" s="77" t="s">
        <v>40</v>
      </c>
      <c r="E15" s="78" t="n">
        <v>2</v>
      </c>
      <c r="F15" s="78" t="n">
        <v>2</v>
      </c>
      <c r="G15" s="78" t="n">
        <v>8.5</v>
      </c>
      <c r="H15" s="78" t="n">
        <v>101</v>
      </c>
      <c r="I15" s="79" t="n">
        <v>7.5</v>
      </c>
    </row>
    <row r="16" customFormat="false" ht="15" hidden="false" customHeight="false" outlineLevel="0" collapsed="false">
      <c r="A16" s="77" t="n">
        <v>115</v>
      </c>
      <c r="B16" s="77" t="n">
        <v>15</v>
      </c>
      <c r="C16" s="77" t="s">
        <v>41</v>
      </c>
      <c r="D16" s="77" t="s">
        <v>42</v>
      </c>
      <c r="E16" s="78" t="n">
        <v>2</v>
      </c>
      <c r="F16" s="78" t="n">
        <v>2</v>
      </c>
      <c r="G16" s="78" t="n">
        <v>9</v>
      </c>
      <c r="H16" s="78" t="n">
        <v>99</v>
      </c>
      <c r="I16" s="79" t="n">
        <v>7</v>
      </c>
    </row>
    <row r="17" customFormat="false" ht="15" hidden="false" customHeight="false" outlineLevel="0" collapsed="false">
      <c r="A17" s="77" t="n">
        <v>116</v>
      </c>
      <c r="B17" s="77" t="n">
        <v>16</v>
      </c>
      <c r="C17" s="77" t="s">
        <v>43</v>
      </c>
      <c r="D17" s="77" t="s">
        <v>44</v>
      </c>
      <c r="E17" s="78" t="n">
        <v>2</v>
      </c>
      <c r="F17" s="78" t="n">
        <v>4</v>
      </c>
      <c r="G17" s="78" t="n">
        <v>9</v>
      </c>
      <c r="H17" s="78" t="n">
        <v>96</v>
      </c>
      <c r="I17" s="79" t="n">
        <v>1</v>
      </c>
    </row>
    <row r="18" customFormat="false" ht="15" hidden="false" customHeight="false" outlineLevel="0" collapsed="false">
      <c r="A18" s="77" t="n">
        <v>117</v>
      </c>
      <c r="B18" s="77" t="n">
        <v>17</v>
      </c>
      <c r="C18" s="77" t="s">
        <v>45</v>
      </c>
      <c r="D18" s="77" t="s">
        <v>46</v>
      </c>
      <c r="E18" s="78" t="n">
        <v>2</v>
      </c>
      <c r="F18" s="78" t="n">
        <v>2</v>
      </c>
      <c r="G18" s="78" t="n">
        <v>8.5</v>
      </c>
      <c r="H18" s="78" t="n">
        <v>100</v>
      </c>
      <c r="I18" s="79" t="n">
        <v>0.5</v>
      </c>
    </row>
    <row r="19" customFormat="false" ht="15" hidden="false" customHeight="false" outlineLevel="0" collapsed="false">
      <c r="A19" s="77" t="n">
        <v>118</v>
      </c>
      <c r="B19" s="77" t="n">
        <v>18</v>
      </c>
      <c r="C19" s="77" t="s">
        <v>47</v>
      </c>
      <c r="D19" s="77" t="s">
        <v>48</v>
      </c>
      <c r="E19" s="78" t="n">
        <v>1</v>
      </c>
      <c r="F19" s="78" t="n">
        <v>4</v>
      </c>
      <c r="G19" s="78" t="n">
        <v>7</v>
      </c>
      <c r="H19" s="78" t="n">
        <v>99</v>
      </c>
      <c r="I19" s="79" t="n">
        <v>1</v>
      </c>
    </row>
    <row r="20" customFormat="false" ht="15" hidden="false" customHeight="false" outlineLevel="0" collapsed="false">
      <c r="A20" s="77" t="n">
        <v>119</v>
      </c>
      <c r="B20" s="77" t="n">
        <v>19</v>
      </c>
      <c r="C20" s="77" t="s">
        <v>49</v>
      </c>
      <c r="D20" s="77" t="s">
        <v>50</v>
      </c>
      <c r="E20" s="78" t="n">
        <v>3</v>
      </c>
      <c r="F20" s="78" t="n">
        <v>2</v>
      </c>
      <c r="G20" s="78" t="n">
        <v>9</v>
      </c>
      <c r="H20" s="78" t="n">
        <v>96</v>
      </c>
      <c r="I20" s="79" t="n">
        <v>1</v>
      </c>
    </row>
    <row r="21" customFormat="false" ht="15" hidden="false" customHeight="false" outlineLevel="0" collapsed="false">
      <c r="A21" s="77" t="n">
        <v>120</v>
      </c>
      <c r="B21" s="77" t="n">
        <v>20</v>
      </c>
      <c r="C21" s="77" t="s">
        <v>51</v>
      </c>
      <c r="D21" s="77" t="s">
        <v>52</v>
      </c>
      <c r="E21" s="78" t="n">
        <v>2</v>
      </c>
      <c r="F21" s="78" t="n">
        <v>3</v>
      </c>
      <c r="G21" s="78" t="n">
        <v>8</v>
      </c>
      <c r="H21" s="78" t="n">
        <v>99</v>
      </c>
      <c r="I21" s="79" t="n">
        <v>1</v>
      </c>
    </row>
    <row r="22" customFormat="false" ht="15" hidden="false" customHeight="false" outlineLevel="0" collapsed="false">
      <c r="A22" s="77" t="n">
        <v>121</v>
      </c>
      <c r="B22" s="77" t="n">
        <v>21</v>
      </c>
      <c r="C22" s="77" t="s">
        <v>53</v>
      </c>
      <c r="D22" s="77" t="s">
        <v>54</v>
      </c>
      <c r="E22" s="78" t="n">
        <v>2</v>
      </c>
      <c r="F22" s="78" t="n">
        <v>2</v>
      </c>
      <c r="G22" s="78" t="n">
        <v>8.5</v>
      </c>
      <c r="H22" s="78" t="n">
        <v>102</v>
      </c>
      <c r="I22" s="79" t="n">
        <v>1</v>
      </c>
    </row>
    <row r="23" customFormat="false" ht="15" hidden="false" customHeight="false" outlineLevel="0" collapsed="false">
      <c r="A23" s="77" t="n">
        <v>122</v>
      </c>
      <c r="B23" s="77" t="n">
        <v>22</v>
      </c>
      <c r="C23" s="77" t="s">
        <v>55</v>
      </c>
      <c r="D23" s="77" t="s">
        <v>56</v>
      </c>
      <c r="E23" s="78" t="n">
        <v>2</v>
      </c>
      <c r="F23" s="78" t="n">
        <v>3</v>
      </c>
      <c r="G23" s="78" t="n">
        <v>7.5</v>
      </c>
      <c r="H23" s="78" t="n">
        <v>98</v>
      </c>
      <c r="I23" s="79" t="n">
        <v>0.5</v>
      </c>
    </row>
    <row r="24" customFormat="false" ht="15" hidden="false" customHeight="false" outlineLevel="0" collapsed="false">
      <c r="A24" s="77" t="n">
        <v>123</v>
      </c>
      <c r="B24" s="77" t="n">
        <v>23</v>
      </c>
      <c r="C24" s="77" t="s">
        <v>57</v>
      </c>
      <c r="D24" s="77" t="s">
        <v>58</v>
      </c>
      <c r="E24" s="78" t="n">
        <v>1</v>
      </c>
      <c r="F24" s="78" t="n">
        <v>4</v>
      </c>
      <c r="G24" s="78" t="n">
        <v>8.5</v>
      </c>
      <c r="H24" s="78" t="n">
        <v>95</v>
      </c>
      <c r="I24" s="79" t="n">
        <v>1</v>
      </c>
    </row>
    <row r="25" customFormat="false" ht="15" hidden="false" customHeight="false" outlineLevel="0" collapsed="false">
      <c r="A25" s="77" t="n">
        <v>124</v>
      </c>
      <c r="B25" s="77" t="n">
        <v>24</v>
      </c>
      <c r="C25" s="77" t="s">
        <v>59</v>
      </c>
      <c r="D25" s="77" t="s">
        <v>60</v>
      </c>
      <c r="E25" s="78" t="n">
        <v>2</v>
      </c>
      <c r="F25" s="78" t="n">
        <v>3</v>
      </c>
      <c r="G25" s="78" t="n">
        <v>9</v>
      </c>
      <c r="H25" s="78" t="n">
        <v>99</v>
      </c>
      <c r="I25" s="79" t="n">
        <v>3.5</v>
      </c>
    </row>
    <row r="26" customFormat="false" ht="15" hidden="false" customHeight="false" outlineLevel="0" collapsed="false">
      <c r="A26" s="77" t="n">
        <v>125</v>
      </c>
      <c r="B26" s="77" t="n">
        <v>25</v>
      </c>
      <c r="C26" s="77" t="s">
        <v>61</v>
      </c>
      <c r="D26" s="77" t="s">
        <v>62</v>
      </c>
      <c r="E26" s="78" t="n">
        <v>1</v>
      </c>
      <c r="F26" s="78" t="n">
        <v>4</v>
      </c>
      <c r="G26" s="78" t="n">
        <v>9</v>
      </c>
      <c r="H26" s="78" t="n">
        <v>95</v>
      </c>
      <c r="I26" s="79" t="n">
        <v>1.5</v>
      </c>
    </row>
    <row r="27" customFormat="false" ht="15" hidden="false" customHeight="false" outlineLevel="0" collapsed="false">
      <c r="C27" s="80" t="s">
        <v>63</v>
      </c>
      <c r="D27" s="81"/>
      <c r="E27" s="3"/>
      <c r="F27" s="82" t="n">
        <v>2.96</v>
      </c>
      <c r="G27" s="82" t="n">
        <v>8.38</v>
      </c>
      <c r="H27" s="82"/>
      <c r="I27" s="83" t="n">
        <v>2.44</v>
      </c>
    </row>
    <row r="28" customFormat="false" ht="15" hidden="false" customHeight="false" outlineLevel="0" collapsed="false">
      <c r="C28" s="80" t="s">
        <v>148</v>
      </c>
      <c r="D28" s="81"/>
      <c r="E28" s="3"/>
      <c r="F28" s="82" t="n">
        <v>29.8</v>
      </c>
      <c r="G28" s="82" t="n">
        <v>10.2</v>
      </c>
      <c r="H28" s="82"/>
      <c r="I28" s="83" t="n">
        <v>40.74</v>
      </c>
    </row>
    <row r="29" customFormat="false" ht="15" hidden="false" customHeight="false" outlineLevel="0" collapsed="false">
      <c r="C29" s="80" t="s">
        <v>92</v>
      </c>
      <c r="D29" s="81"/>
      <c r="E29" s="3"/>
      <c r="F29" s="82" t="n">
        <v>1.8</v>
      </c>
      <c r="G29" s="82" t="n">
        <v>1.78</v>
      </c>
      <c r="H29" s="82"/>
      <c r="I29" s="83" t="n">
        <v>2.05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1" activeCellId="0" sqref="E1"/>
    </sheetView>
  </sheetViews>
  <sheetFormatPr defaultColWidth="8.5390625" defaultRowHeight="15" zeroHeight="false" outlineLevelRow="0" outlineLevelCol="0"/>
  <sheetData>
    <row r="1" customFormat="false" ht="15" hidden="false" customHeight="false" outlineLevel="0" collapsed="false">
      <c r="A1" s="74" t="s">
        <v>139</v>
      </c>
      <c r="B1" s="74" t="s">
        <v>140</v>
      </c>
      <c r="C1" s="74" t="s">
        <v>141</v>
      </c>
      <c r="D1" s="74" t="s">
        <v>142</v>
      </c>
      <c r="E1" s="84" t="s">
        <v>143</v>
      </c>
      <c r="F1" s="84" t="s">
        <v>149</v>
      </c>
      <c r="G1" s="85" t="s">
        <v>150</v>
      </c>
    </row>
    <row r="2" customFormat="false" ht="15" hidden="false" customHeight="false" outlineLevel="0" collapsed="false">
      <c r="A2" s="77" t="n">
        <v>101</v>
      </c>
      <c r="B2" s="77" t="n">
        <v>1</v>
      </c>
      <c r="C2" s="77" t="s">
        <v>13</v>
      </c>
      <c r="D2" s="77" t="s">
        <v>14</v>
      </c>
      <c r="E2" s="86" t="n">
        <v>2</v>
      </c>
      <c r="F2" s="87" t="n">
        <v>2.6667</v>
      </c>
      <c r="G2" s="88" t="n">
        <v>7.667</v>
      </c>
    </row>
    <row r="3" customFormat="false" ht="15" hidden="false" customHeight="false" outlineLevel="0" collapsed="false">
      <c r="A3" s="77" t="n">
        <v>102</v>
      </c>
      <c r="B3" s="77" t="n">
        <v>2</v>
      </c>
      <c r="C3" s="77" t="s">
        <v>15</v>
      </c>
      <c r="D3" s="77" t="s">
        <v>16</v>
      </c>
      <c r="E3" s="86" t="n">
        <v>5</v>
      </c>
      <c r="F3" s="87" t="n">
        <v>8</v>
      </c>
      <c r="G3" s="88" t="n">
        <v>3.333</v>
      </c>
    </row>
    <row r="4" customFormat="false" ht="15" hidden="false" customHeight="false" outlineLevel="0" collapsed="false">
      <c r="A4" s="77" t="n">
        <v>103</v>
      </c>
      <c r="B4" s="77" t="n">
        <v>3</v>
      </c>
      <c r="C4" s="77" t="s">
        <v>17</v>
      </c>
      <c r="D4" s="77" t="s">
        <v>18</v>
      </c>
      <c r="E4" s="86" t="n">
        <v>2</v>
      </c>
      <c r="F4" s="87" t="n">
        <v>1.3333</v>
      </c>
      <c r="G4" s="88" t="n">
        <v>7.333</v>
      </c>
    </row>
    <row r="5" customFormat="false" ht="15" hidden="false" customHeight="false" outlineLevel="0" collapsed="false">
      <c r="A5" s="77" t="n">
        <v>104</v>
      </c>
      <c r="B5" s="77" t="n">
        <v>4</v>
      </c>
      <c r="C5" s="77" t="s">
        <v>19</v>
      </c>
      <c r="D5" s="77" t="s">
        <v>20</v>
      </c>
      <c r="E5" s="86" t="n">
        <v>2</v>
      </c>
      <c r="F5" s="87" t="n">
        <v>0</v>
      </c>
      <c r="G5" s="88" t="n">
        <v>8.667</v>
      </c>
    </row>
    <row r="6" customFormat="false" ht="15" hidden="false" customHeight="false" outlineLevel="0" collapsed="false">
      <c r="A6" s="77" t="n">
        <v>105</v>
      </c>
      <c r="B6" s="77" t="n">
        <v>5</v>
      </c>
      <c r="C6" s="77" t="s">
        <v>21</v>
      </c>
      <c r="D6" s="77" t="s">
        <v>22</v>
      </c>
      <c r="E6" s="86" t="n">
        <v>5</v>
      </c>
      <c r="F6" s="87" t="n">
        <v>8</v>
      </c>
      <c r="G6" s="88" t="n">
        <v>2.667</v>
      </c>
    </row>
    <row r="7" customFormat="false" ht="15" hidden="false" customHeight="false" outlineLevel="0" collapsed="false">
      <c r="A7" s="77" t="n">
        <v>106</v>
      </c>
      <c r="B7" s="77" t="n">
        <v>6</v>
      </c>
      <c r="C7" s="77" t="s">
        <v>23</v>
      </c>
      <c r="D7" s="77" t="s">
        <v>24</v>
      </c>
      <c r="E7" s="86" t="n">
        <v>4</v>
      </c>
      <c r="F7" s="87" t="n">
        <v>6</v>
      </c>
      <c r="G7" s="88" t="n">
        <v>4.667</v>
      </c>
    </row>
    <row r="8" customFormat="false" ht="15" hidden="false" customHeight="false" outlineLevel="0" collapsed="false">
      <c r="A8" s="77" t="n">
        <v>107</v>
      </c>
      <c r="B8" s="77" t="n">
        <v>7</v>
      </c>
      <c r="C8" s="77" t="s">
        <v>25</v>
      </c>
      <c r="D8" s="77" t="s">
        <v>26</v>
      </c>
      <c r="E8" s="86" t="n">
        <v>3</v>
      </c>
      <c r="F8" s="87" t="n">
        <v>2.6667</v>
      </c>
      <c r="G8" s="88" t="n">
        <v>8.333</v>
      </c>
    </row>
    <row r="9" customFormat="false" ht="15" hidden="false" customHeight="false" outlineLevel="0" collapsed="false">
      <c r="A9" s="77" t="n">
        <v>108</v>
      </c>
      <c r="B9" s="77" t="n">
        <v>8</v>
      </c>
      <c r="C9" s="77" t="s">
        <v>27</v>
      </c>
      <c r="D9" s="77" t="s">
        <v>28</v>
      </c>
      <c r="E9" s="86" t="n">
        <v>3</v>
      </c>
      <c r="F9" s="87" t="n">
        <v>4.6667</v>
      </c>
      <c r="G9" s="88" t="n">
        <v>4.667</v>
      </c>
    </row>
    <row r="10" customFormat="false" ht="15" hidden="false" customHeight="false" outlineLevel="0" collapsed="false">
      <c r="A10" s="77" t="n">
        <v>109</v>
      </c>
      <c r="B10" s="77" t="n">
        <v>9</v>
      </c>
      <c r="C10" s="77" t="s">
        <v>29</v>
      </c>
      <c r="D10" s="77" t="s">
        <v>30</v>
      </c>
      <c r="E10" s="86" t="n">
        <v>3</v>
      </c>
      <c r="F10" s="87" t="n">
        <v>4</v>
      </c>
      <c r="G10" s="88" t="n">
        <v>6.667</v>
      </c>
    </row>
    <row r="11" customFormat="false" ht="15" hidden="false" customHeight="false" outlineLevel="0" collapsed="false">
      <c r="A11" s="77" t="n">
        <v>110</v>
      </c>
      <c r="B11" s="77" t="n">
        <v>10</v>
      </c>
      <c r="C11" s="77" t="s">
        <v>31</v>
      </c>
      <c r="D11" s="77" t="s">
        <v>32</v>
      </c>
      <c r="E11" s="86" t="n">
        <v>3</v>
      </c>
      <c r="F11" s="87" t="n">
        <v>3.3333</v>
      </c>
      <c r="G11" s="88" t="n">
        <v>5.333</v>
      </c>
    </row>
    <row r="12" customFormat="false" ht="15" hidden="false" customHeight="false" outlineLevel="0" collapsed="false">
      <c r="A12" s="77" t="n">
        <v>111</v>
      </c>
      <c r="B12" s="77" t="n">
        <v>11</v>
      </c>
      <c r="C12" s="77" t="s">
        <v>33</v>
      </c>
      <c r="D12" s="77" t="s">
        <v>34</v>
      </c>
      <c r="E12" s="86" t="n">
        <v>2</v>
      </c>
      <c r="F12" s="87" t="n">
        <v>5.3333</v>
      </c>
      <c r="G12" s="88" t="n">
        <v>5.333</v>
      </c>
    </row>
    <row r="13" customFormat="false" ht="15" hidden="false" customHeight="false" outlineLevel="0" collapsed="false">
      <c r="A13" s="77" t="n">
        <v>112</v>
      </c>
      <c r="B13" s="77" t="n">
        <v>12</v>
      </c>
      <c r="C13" s="77" t="s">
        <v>35</v>
      </c>
      <c r="D13" s="77" t="s">
        <v>36</v>
      </c>
      <c r="E13" s="86" t="n">
        <v>2</v>
      </c>
      <c r="F13" s="87" t="n">
        <v>1.3333</v>
      </c>
      <c r="G13" s="88" t="n">
        <v>8</v>
      </c>
    </row>
    <row r="14" customFormat="false" ht="15" hidden="false" customHeight="false" outlineLevel="0" collapsed="false">
      <c r="A14" s="77" t="n">
        <v>113</v>
      </c>
      <c r="B14" s="77" t="n">
        <v>13</v>
      </c>
      <c r="C14" s="77" t="s">
        <v>37</v>
      </c>
      <c r="D14" s="77" t="s">
        <v>38</v>
      </c>
      <c r="E14" s="86" t="n">
        <v>2</v>
      </c>
      <c r="F14" s="87" t="n">
        <v>0.6667</v>
      </c>
      <c r="G14" s="88" t="n">
        <v>9</v>
      </c>
    </row>
    <row r="15" customFormat="false" ht="15" hidden="false" customHeight="false" outlineLevel="0" collapsed="false">
      <c r="A15" s="77" t="n">
        <v>114</v>
      </c>
      <c r="B15" s="77" t="n">
        <v>14</v>
      </c>
      <c r="C15" s="77" t="s">
        <v>39</v>
      </c>
      <c r="D15" s="77" t="s">
        <v>40</v>
      </c>
      <c r="E15" s="86" t="n">
        <v>2</v>
      </c>
      <c r="F15" s="87" t="n">
        <v>0.6667</v>
      </c>
      <c r="G15" s="88" t="n">
        <v>8.333</v>
      </c>
    </row>
    <row r="16" customFormat="false" ht="15" hidden="false" customHeight="false" outlineLevel="0" collapsed="false">
      <c r="A16" s="77" t="n">
        <v>115</v>
      </c>
      <c r="B16" s="77" t="n">
        <v>15</v>
      </c>
      <c r="C16" s="77" t="s">
        <v>41</v>
      </c>
      <c r="D16" s="77" t="s">
        <v>42</v>
      </c>
      <c r="E16" s="86" t="n">
        <v>3</v>
      </c>
      <c r="F16" s="87" t="n">
        <v>4</v>
      </c>
      <c r="G16" s="88" t="n">
        <v>6</v>
      </c>
    </row>
    <row r="17" customFormat="false" ht="15" hidden="false" customHeight="false" outlineLevel="0" collapsed="false">
      <c r="A17" s="77" t="n">
        <v>116</v>
      </c>
      <c r="B17" s="77" t="n">
        <v>16</v>
      </c>
      <c r="C17" s="77" t="s">
        <v>43</v>
      </c>
      <c r="D17" s="77" t="s">
        <v>44</v>
      </c>
      <c r="E17" s="86" t="n">
        <v>3</v>
      </c>
      <c r="F17" s="87" t="n">
        <v>2.6667</v>
      </c>
      <c r="G17" s="88" t="n">
        <v>8.667</v>
      </c>
    </row>
    <row r="18" customFormat="false" ht="15" hidden="false" customHeight="false" outlineLevel="0" collapsed="false">
      <c r="A18" s="77" t="n">
        <v>117</v>
      </c>
      <c r="B18" s="77" t="n">
        <v>17</v>
      </c>
      <c r="C18" s="77" t="s">
        <v>45</v>
      </c>
      <c r="D18" s="77" t="s">
        <v>46</v>
      </c>
      <c r="E18" s="86" t="n">
        <v>2</v>
      </c>
      <c r="F18" s="87" t="n">
        <v>2</v>
      </c>
      <c r="G18" s="88" t="n">
        <v>7.333</v>
      </c>
    </row>
    <row r="19" customFormat="false" ht="15" hidden="false" customHeight="false" outlineLevel="0" collapsed="false">
      <c r="A19" s="77" t="n">
        <v>118</v>
      </c>
      <c r="B19" s="77" t="n">
        <v>18</v>
      </c>
      <c r="C19" s="77" t="s">
        <v>47</v>
      </c>
      <c r="D19" s="77" t="s">
        <v>48</v>
      </c>
      <c r="E19" s="86" t="n">
        <v>2</v>
      </c>
      <c r="F19" s="87" t="n">
        <v>4</v>
      </c>
      <c r="G19" s="88" t="n">
        <v>6</v>
      </c>
    </row>
    <row r="20" customFormat="false" ht="15" hidden="false" customHeight="false" outlineLevel="0" collapsed="false">
      <c r="A20" s="77" t="n">
        <v>119</v>
      </c>
      <c r="B20" s="77" t="n">
        <v>19</v>
      </c>
      <c r="C20" s="77" t="s">
        <v>49</v>
      </c>
      <c r="D20" s="77" t="s">
        <v>50</v>
      </c>
      <c r="E20" s="86" t="n">
        <v>2</v>
      </c>
      <c r="F20" s="87" t="n">
        <v>2</v>
      </c>
      <c r="G20" s="88" t="n">
        <v>6.667</v>
      </c>
    </row>
    <row r="21" customFormat="false" ht="15" hidden="false" customHeight="false" outlineLevel="0" collapsed="false">
      <c r="A21" s="77" t="n">
        <v>120</v>
      </c>
      <c r="B21" s="77" t="n">
        <v>20</v>
      </c>
      <c r="C21" s="77" t="s">
        <v>51</v>
      </c>
      <c r="D21" s="77" t="s">
        <v>52</v>
      </c>
      <c r="E21" s="86" t="n">
        <v>2</v>
      </c>
      <c r="F21" s="87" t="n">
        <v>2.6667</v>
      </c>
      <c r="G21" s="88" t="n">
        <v>6.667</v>
      </c>
    </row>
    <row r="22" customFormat="false" ht="15" hidden="false" customHeight="false" outlineLevel="0" collapsed="false">
      <c r="A22" s="77" t="n">
        <v>121</v>
      </c>
      <c r="B22" s="77" t="n">
        <v>21</v>
      </c>
      <c r="C22" s="77" t="s">
        <v>53</v>
      </c>
      <c r="D22" s="77" t="s">
        <v>54</v>
      </c>
      <c r="E22" s="86" t="n">
        <v>1</v>
      </c>
      <c r="F22" s="87" t="n">
        <v>3.3333</v>
      </c>
      <c r="G22" s="88" t="n">
        <v>6.667</v>
      </c>
    </row>
    <row r="23" customFormat="false" ht="15" hidden="false" customHeight="false" outlineLevel="0" collapsed="false">
      <c r="A23" s="77" t="n">
        <v>122</v>
      </c>
      <c r="B23" s="77" t="n">
        <v>22</v>
      </c>
      <c r="C23" s="77" t="s">
        <v>55</v>
      </c>
      <c r="D23" s="77" t="s">
        <v>56</v>
      </c>
      <c r="E23" s="86" t="n">
        <v>3</v>
      </c>
      <c r="F23" s="87" t="n">
        <v>4</v>
      </c>
      <c r="G23" s="88" t="n">
        <v>6.333</v>
      </c>
    </row>
    <row r="24" customFormat="false" ht="15" hidden="false" customHeight="false" outlineLevel="0" collapsed="false">
      <c r="A24" s="77" t="n">
        <v>123</v>
      </c>
      <c r="B24" s="77" t="n">
        <v>23</v>
      </c>
      <c r="C24" s="77" t="s">
        <v>57</v>
      </c>
      <c r="D24" s="77" t="s">
        <v>58</v>
      </c>
      <c r="E24" s="86" t="n">
        <v>2</v>
      </c>
      <c r="F24" s="87" t="n">
        <v>0.6667</v>
      </c>
      <c r="G24" s="88" t="n">
        <v>7</v>
      </c>
    </row>
    <row r="25" customFormat="false" ht="15" hidden="false" customHeight="false" outlineLevel="0" collapsed="false">
      <c r="A25" s="77" t="n">
        <v>124</v>
      </c>
      <c r="B25" s="77" t="n">
        <v>24</v>
      </c>
      <c r="C25" s="77" t="s">
        <v>59</v>
      </c>
      <c r="D25" s="77" t="s">
        <v>60</v>
      </c>
      <c r="E25" s="86" t="n">
        <v>3</v>
      </c>
      <c r="F25" s="87" t="n">
        <v>4</v>
      </c>
      <c r="G25" s="88" t="n">
        <v>6.667</v>
      </c>
    </row>
    <row r="26" customFormat="false" ht="15" hidden="false" customHeight="false" outlineLevel="0" collapsed="false">
      <c r="A26" s="77" t="n">
        <v>125</v>
      </c>
      <c r="B26" s="77" t="n">
        <v>25</v>
      </c>
      <c r="C26" s="77" t="s">
        <v>61</v>
      </c>
      <c r="D26" s="77" t="s">
        <v>62</v>
      </c>
      <c r="E26" s="86" t="n">
        <v>4</v>
      </c>
      <c r="F26" s="87" t="n">
        <v>6.6667</v>
      </c>
      <c r="G26" s="88" t="n">
        <v>4</v>
      </c>
    </row>
    <row r="27" customFormat="false" ht="15" hidden="false" customHeight="false" outlineLevel="0" collapsed="false">
      <c r="C27" s="80" t="s">
        <v>63</v>
      </c>
      <c r="D27" s="81"/>
      <c r="E27" s="82"/>
      <c r="F27" s="82" t="n">
        <v>3.4</v>
      </c>
      <c r="G27" s="83" t="n">
        <v>6.5</v>
      </c>
    </row>
    <row r="28" customFormat="false" ht="15" hidden="false" customHeight="false" outlineLevel="0" collapsed="false">
      <c r="C28" s="80" t="s">
        <v>148</v>
      </c>
      <c r="D28" s="81"/>
      <c r="E28" s="82"/>
      <c r="F28" s="82" t="n">
        <v>35.7</v>
      </c>
      <c r="G28" s="83" t="n">
        <v>20</v>
      </c>
    </row>
    <row r="29" customFormat="false" ht="15" hidden="false" customHeight="false" outlineLevel="0" collapsed="false">
      <c r="C29" s="80" t="s">
        <v>92</v>
      </c>
      <c r="D29" s="81"/>
      <c r="E29" s="82"/>
      <c r="F29" s="82" t="n">
        <v>1.98</v>
      </c>
      <c r="G29" s="83" t="n">
        <v>2.13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I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34" activeCellId="0" sqref="H34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6.28"/>
    <col collapsed="false" customWidth="true" hidden="false" outlineLevel="0" max="5" min="5" style="0" width="13.78"/>
    <col collapsed="false" customWidth="true" hidden="false" outlineLevel="0" max="6" min="6" style="0" width="10.47"/>
  </cols>
  <sheetData>
    <row r="1" customFormat="false" ht="15.75" hidden="false" customHeight="false" outlineLevel="0" collapsed="false">
      <c r="A1" s="89" t="s">
        <v>0</v>
      </c>
      <c r="B1" s="89" t="s">
        <v>151</v>
      </c>
      <c r="C1" s="89" t="s">
        <v>152</v>
      </c>
      <c r="D1" s="89" t="s">
        <v>153</v>
      </c>
      <c r="E1" s="89" t="s">
        <v>154</v>
      </c>
      <c r="F1" s="89" t="s">
        <v>155</v>
      </c>
      <c r="G1" s="89" t="s">
        <v>146</v>
      </c>
      <c r="H1" s="89" t="s">
        <v>156</v>
      </c>
      <c r="I1" s="89" t="s">
        <v>157</v>
      </c>
    </row>
    <row r="2" customFormat="false" ht="15.75" hidden="false" customHeight="false" outlineLevel="0" collapsed="false">
      <c r="A2" s="90" t="n">
        <v>1</v>
      </c>
      <c r="B2" s="90" t="s">
        <v>13</v>
      </c>
      <c r="C2" s="90"/>
      <c r="D2" s="90" t="s">
        <v>158</v>
      </c>
      <c r="E2" s="91" t="n">
        <v>150.73575</v>
      </c>
      <c r="F2" s="91" t="n">
        <v>33.7</v>
      </c>
      <c r="G2" s="90" t="n">
        <v>96</v>
      </c>
      <c r="H2" s="90" t="n">
        <v>37</v>
      </c>
      <c r="I2" s="90"/>
    </row>
    <row r="3" customFormat="false" ht="15" hidden="false" customHeight="false" outlineLevel="0" collapsed="false">
      <c r="A3" s="92" t="n">
        <v>2</v>
      </c>
      <c r="B3" s="92" t="s">
        <v>15</v>
      </c>
      <c r="C3" s="92"/>
      <c r="D3" s="92" t="s">
        <v>158</v>
      </c>
      <c r="E3" s="93" t="n">
        <v>130.4985</v>
      </c>
      <c r="F3" s="93" t="n">
        <v>34.4333333333333</v>
      </c>
      <c r="G3" s="92" t="n">
        <v>94</v>
      </c>
      <c r="H3" s="92" t="n">
        <v>41</v>
      </c>
      <c r="I3" s="92" t="n">
        <v>80</v>
      </c>
    </row>
    <row r="4" customFormat="false" ht="15" hidden="false" customHeight="false" outlineLevel="0" collapsed="false">
      <c r="A4" s="92" t="n">
        <v>3</v>
      </c>
      <c r="B4" s="92" t="s">
        <v>17</v>
      </c>
      <c r="C4" s="92"/>
      <c r="D4" s="92" t="s">
        <v>158</v>
      </c>
      <c r="E4" s="93" t="n">
        <v>128.139</v>
      </c>
      <c r="F4" s="93" t="n">
        <v>32.8666666666667</v>
      </c>
      <c r="G4" s="92" t="n">
        <v>96</v>
      </c>
      <c r="H4" s="92" t="n">
        <v>44</v>
      </c>
      <c r="I4" s="92"/>
    </row>
    <row r="5" customFormat="false" ht="15" hidden="false" customHeight="false" outlineLevel="0" collapsed="false">
      <c r="A5" s="92" t="n">
        <v>4</v>
      </c>
      <c r="B5" s="92" t="s">
        <v>19</v>
      </c>
      <c r="C5" s="92"/>
      <c r="D5" s="92" t="s">
        <v>158</v>
      </c>
      <c r="E5" s="93" t="n">
        <v>122.05875</v>
      </c>
      <c r="F5" s="93" t="n">
        <v>36.0333333333333</v>
      </c>
      <c r="G5" s="92" t="n">
        <v>92</v>
      </c>
      <c r="H5" s="92" t="n">
        <v>38</v>
      </c>
      <c r="I5" s="92" t="n">
        <v>10</v>
      </c>
    </row>
    <row r="6" customFormat="false" ht="15" hidden="false" customHeight="false" outlineLevel="0" collapsed="false">
      <c r="A6" s="92" t="n">
        <v>5</v>
      </c>
      <c r="B6" s="92" t="s">
        <v>21</v>
      </c>
      <c r="C6" s="92"/>
      <c r="D6" s="92" t="s">
        <v>158</v>
      </c>
      <c r="E6" s="93" t="n">
        <v>153.549</v>
      </c>
      <c r="F6" s="93" t="n">
        <v>33.5</v>
      </c>
      <c r="G6" s="92" t="n">
        <v>100</v>
      </c>
      <c r="H6" s="92" t="n">
        <v>41</v>
      </c>
      <c r="I6" s="92" t="n">
        <v>10</v>
      </c>
    </row>
    <row r="7" customFormat="false" ht="15" hidden="false" customHeight="false" outlineLevel="0" collapsed="false">
      <c r="A7" s="92" t="n">
        <v>6</v>
      </c>
      <c r="B7" s="92" t="s">
        <v>23</v>
      </c>
      <c r="C7" s="92"/>
      <c r="D7" s="92" t="s">
        <v>158</v>
      </c>
      <c r="E7" s="93" t="n">
        <v>144.74625</v>
      </c>
      <c r="F7" s="93" t="n">
        <v>36.1666666666667</v>
      </c>
      <c r="G7" s="92" t="n">
        <v>99</v>
      </c>
      <c r="H7" s="92" t="n">
        <v>42</v>
      </c>
      <c r="I7" s="92" t="n">
        <v>80</v>
      </c>
    </row>
    <row r="8" customFormat="false" ht="15" hidden="false" customHeight="false" outlineLevel="0" collapsed="false">
      <c r="A8" s="92" t="n">
        <v>7</v>
      </c>
      <c r="B8" s="92" t="s">
        <v>25</v>
      </c>
      <c r="C8" s="92"/>
      <c r="D8" s="92" t="s">
        <v>158</v>
      </c>
      <c r="E8" s="93" t="n">
        <v>140.118</v>
      </c>
      <c r="F8" s="93" t="n">
        <v>36.1333333333333</v>
      </c>
      <c r="G8" s="92" t="n">
        <v>103</v>
      </c>
      <c r="H8" s="92" t="n">
        <v>48</v>
      </c>
      <c r="I8" s="92" t="n">
        <v>25</v>
      </c>
    </row>
    <row r="9" customFormat="false" ht="15" hidden="false" customHeight="false" outlineLevel="0" collapsed="false">
      <c r="A9" s="92" t="n">
        <v>8</v>
      </c>
      <c r="B9" s="92" t="s">
        <v>27</v>
      </c>
      <c r="C9" s="92"/>
      <c r="D9" s="92" t="s">
        <v>158</v>
      </c>
      <c r="E9" s="93" t="n">
        <v>122.60325</v>
      </c>
      <c r="F9" s="93" t="n">
        <v>32.2333333333333</v>
      </c>
      <c r="G9" s="92" t="n">
        <v>98</v>
      </c>
      <c r="H9" s="92" t="n">
        <v>47</v>
      </c>
      <c r="I9" s="92" t="n">
        <v>10</v>
      </c>
    </row>
    <row r="10" customFormat="false" ht="15" hidden="false" customHeight="false" outlineLevel="0" collapsed="false">
      <c r="A10" s="92" t="n">
        <v>9</v>
      </c>
      <c r="B10" s="92" t="s">
        <v>29</v>
      </c>
      <c r="C10" s="92"/>
      <c r="D10" s="92" t="s">
        <v>158</v>
      </c>
      <c r="E10" s="93" t="n">
        <v>130.77075</v>
      </c>
      <c r="F10" s="93" t="n">
        <v>33.1666666666667</v>
      </c>
      <c r="G10" s="92" t="n">
        <v>100</v>
      </c>
      <c r="H10" s="92" t="n">
        <v>47</v>
      </c>
      <c r="I10" s="92" t="n">
        <v>10</v>
      </c>
    </row>
    <row r="11" customFormat="false" ht="15" hidden="false" customHeight="false" outlineLevel="0" collapsed="false">
      <c r="A11" s="92" t="n">
        <v>10</v>
      </c>
      <c r="B11" s="92" t="s">
        <v>31</v>
      </c>
      <c r="C11" s="92"/>
      <c r="D11" s="92" t="s">
        <v>158</v>
      </c>
      <c r="E11" s="93" t="n">
        <v>133.85625</v>
      </c>
      <c r="F11" s="93" t="n">
        <v>31.6</v>
      </c>
      <c r="G11" s="92" t="n">
        <v>100</v>
      </c>
      <c r="H11" s="92" t="n">
        <v>53</v>
      </c>
      <c r="I11" s="92" t="n">
        <v>10</v>
      </c>
    </row>
    <row r="12" customFormat="false" ht="15" hidden="false" customHeight="false" outlineLevel="0" collapsed="false">
      <c r="A12" s="92" t="n">
        <v>11</v>
      </c>
      <c r="B12" s="92" t="s">
        <v>33</v>
      </c>
      <c r="C12" s="92"/>
      <c r="D12" s="92" t="s">
        <v>158</v>
      </c>
      <c r="E12" s="93" t="n">
        <v>126.1425</v>
      </c>
      <c r="F12" s="93" t="n">
        <v>35.5</v>
      </c>
      <c r="G12" s="92" t="n">
        <v>99</v>
      </c>
      <c r="H12" s="92" t="n">
        <v>51</v>
      </c>
      <c r="I12" s="92" t="n">
        <v>90</v>
      </c>
    </row>
    <row r="13" customFormat="false" ht="15" hidden="false" customHeight="false" outlineLevel="0" collapsed="false">
      <c r="A13" s="92" t="n">
        <v>12</v>
      </c>
      <c r="B13" s="92" t="s">
        <v>35</v>
      </c>
      <c r="C13" s="92"/>
      <c r="D13" s="92" t="s">
        <v>158</v>
      </c>
      <c r="E13" s="93" t="n">
        <v>128.95575</v>
      </c>
      <c r="F13" s="93" t="n">
        <v>35.1</v>
      </c>
      <c r="G13" s="92" t="n">
        <v>101</v>
      </c>
      <c r="H13" s="92" t="n">
        <v>48</v>
      </c>
      <c r="I13" s="92"/>
    </row>
    <row r="14" customFormat="false" ht="15" hidden="false" customHeight="false" outlineLevel="0" collapsed="false">
      <c r="A14" s="92" t="n">
        <v>13</v>
      </c>
      <c r="B14" s="92" t="s">
        <v>37</v>
      </c>
      <c r="C14" s="92"/>
      <c r="D14" s="92" t="s">
        <v>158</v>
      </c>
      <c r="E14" s="93" t="n">
        <v>162.89625</v>
      </c>
      <c r="F14" s="93" t="n">
        <v>40.8333333333333</v>
      </c>
      <c r="G14" s="92" t="n">
        <v>92</v>
      </c>
      <c r="H14" s="92" t="n">
        <v>44</v>
      </c>
      <c r="I14" s="92" t="n">
        <v>75</v>
      </c>
    </row>
    <row r="15" customFormat="false" ht="15" hidden="false" customHeight="false" outlineLevel="0" collapsed="false">
      <c r="A15" s="92" t="n">
        <v>14</v>
      </c>
      <c r="B15" s="92" t="s">
        <v>39</v>
      </c>
      <c r="C15" s="92"/>
      <c r="D15" s="92" t="s">
        <v>158</v>
      </c>
      <c r="E15" s="93" t="n">
        <v>120.06225</v>
      </c>
      <c r="F15" s="93" t="n">
        <v>33.9</v>
      </c>
      <c r="G15" s="92" t="n">
        <v>100</v>
      </c>
      <c r="H15" s="92" t="n">
        <v>46</v>
      </c>
      <c r="I15" s="92" t="n">
        <v>90</v>
      </c>
    </row>
    <row r="16" customFormat="false" ht="15" hidden="false" customHeight="false" outlineLevel="0" collapsed="false">
      <c r="A16" s="92" t="n">
        <v>15</v>
      </c>
      <c r="B16" s="92" t="s">
        <v>41</v>
      </c>
      <c r="C16" s="92"/>
      <c r="D16" s="92" t="s">
        <v>158</v>
      </c>
      <c r="E16" s="93" t="n">
        <v>145.2</v>
      </c>
      <c r="F16" s="93" t="n">
        <v>20.4</v>
      </c>
      <c r="G16" s="92" t="n">
        <v>100</v>
      </c>
      <c r="H16" s="92" t="n">
        <v>41</v>
      </c>
      <c r="I16" s="92" t="n">
        <v>60</v>
      </c>
    </row>
    <row r="17" customFormat="false" ht="15" hidden="false" customHeight="false" outlineLevel="0" collapsed="false">
      <c r="A17" s="92" t="n">
        <v>16</v>
      </c>
      <c r="B17" s="92" t="s">
        <v>43</v>
      </c>
      <c r="C17" s="92"/>
      <c r="D17" s="92" t="s">
        <v>158</v>
      </c>
      <c r="E17" s="93" t="n">
        <v>139.392</v>
      </c>
      <c r="F17" s="93" t="n">
        <v>35.2333333333333</v>
      </c>
      <c r="G17" s="92" t="n">
        <v>91</v>
      </c>
      <c r="H17" s="92" t="n">
        <v>44</v>
      </c>
      <c r="I17" s="92" t="n">
        <v>20</v>
      </c>
    </row>
    <row r="18" customFormat="false" ht="15" hidden="false" customHeight="false" outlineLevel="0" collapsed="false">
      <c r="A18" s="92" t="n">
        <v>17</v>
      </c>
      <c r="B18" s="92" t="s">
        <v>45</v>
      </c>
      <c r="C18" s="92"/>
      <c r="D18" s="92" t="s">
        <v>158</v>
      </c>
      <c r="E18" s="93" t="n">
        <v>139.029</v>
      </c>
      <c r="F18" s="93" t="n">
        <v>34.6</v>
      </c>
      <c r="G18" s="92" t="n">
        <v>100</v>
      </c>
      <c r="H18" s="92" t="n">
        <v>43</v>
      </c>
      <c r="I18" s="92"/>
    </row>
    <row r="19" customFormat="false" ht="15" hidden="false" customHeight="false" outlineLevel="0" collapsed="false">
      <c r="A19" s="92" t="n">
        <v>18</v>
      </c>
      <c r="B19" s="92" t="s">
        <v>47</v>
      </c>
      <c r="C19" s="92"/>
      <c r="D19" s="92" t="s">
        <v>158</v>
      </c>
      <c r="E19" s="93" t="n">
        <v>136.03425</v>
      </c>
      <c r="F19" s="93" t="n">
        <v>20.1</v>
      </c>
      <c r="G19" s="92" t="n">
        <v>92</v>
      </c>
      <c r="H19" s="92" t="n">
        <v>40</v>
      </c>
      <c r="I19" s="92" t="n">
        <v>30</v>
      </c>
    </row>
    <row r="20" customFormat="false" ht="15" hidden="false" customHeight="false" outlineLevel="0" collapsed="false">
      <c r="A20" s="92" t="n">
        <v>19</v>
      </c>
      <c r="B20" s="92" t="s">
        <v>49</v>
      </c>
      <c r="C20" s="92"/>
      <c r="D20" s="92" t="s">
        <v>158</v>
      </c>
      <c r="E20" s="93" t="n">
        <v>129.7725</v>
      </c>
      <c r="F20" s="93" t="n">
        <v>19.8333333333333</v>
      </c>
      <c r="G20" s="92" t="n">
        <v>98</v>
      </c>
      <c r="H20" s="92" t="n">
        <v>41</v>
      </c>
      <c r="I20" s="92" t="n">
        <v>20</v>
      </c>
    </row>
    <row r="21" customFormat="false" ht="15" hidden="false" customHeight="false" outlineLevel="0" collapsed="false">
      <c r="A21" s="92" t="n">
        <v>20</v>
      </c>
      <c r="B21" s="92" t="s">
        <v>51</v>
      </c>
      <c r="C21" s="92"/>
      <c r="D21" s="92" t="s">
        <v>158</v>
      </c>
      <c r="E21" s="93" t="n">
        <v>140.57175</v>
      </c>
      <c r="F21" s="93" t="n">
        <v>34.2666666666667</v>
      </c>
      <c r="G21" s="92" t="n">
        <v>95</v>
      </c>
      <c r="H21" s="92" t="n">
        <v>44</v>
      </c>
      <c r="I21" s="92"/>
    </row>
    <row r="22" customFormat="false" ht="15" hidden="false" customHeight="false" outlineLevel="0" collapsed="false">
      <c r="A22" s="92" t="n">
        <v>21</v>
      </c>
      <c r="B22" s="92" t="s">
        <v>53</v>
      </c>
      <c r="C22" s="92"/>
      <c r="D22" s="92" t="s">
        <v>158</v>
      </c>
      <c r="E22" s="93" t="n">
        <v>125.7795</v>
      </c>
      <c r="F22" s="93" t="n">
        <v>31.4</v>
      </c>
      <c r="G22" s="92" t="n">
        <v>99</v>
      </c>
      <c r="H22" s="92" t="n">
        <v>46</v>
      </c>
      <c r="I22" s="92"/>
    </row>
    <row r="23" customFormat="false" ht="15" hidden="false" customHeight="false" outlineLevel="0" collapsed="false">
      <c r="A23" s="92" t="n">
        <v>22</v>
      </c>
      <c r="B23" s="92" t="s">
        <v>55</v>
      </c>
      <c r="C23" s="92"/>
      <c r="D23" s="92" t="s">
        <v>158</v>
      </c>
      <c r="E23" s="93" t="n">
        <v>112.43925</v>
      </c>
      <c r="F23" s="93" t="n">
        <v>35.8333333333333</v>
      </c>
      <c r="G23" s="92" t="n">
        <v>91</v>
      </c>
      <c r="H23" s="92" t="n">
        <v>53</v>
      </c>
      <c r="I23" s="92" t="n">
        <v>60</v>
      </c>
    </row>
    <row r="24" customFormat="false" ht="15" hidden="false" customHeight="false" outlineLevel="0" collapsed="false">
      <c r="A24" s="92" t="n">
        <v>23</v>
      </c>
      <c r="B24" s="92" t="s">
        <v>57</v>
      </c>
      <c r="C24" s="92"/>
      <c r="D24" s="92" t="s">
        <v>158</v>
      </c>
      <c r="E24" s="93" t="n">
        <v>135.85275</v>
      </c>
      <c r="F24" s="93" t="n">
        <v>30.6333333333333</v>
      </c>
      <c r="G24" s="92" t="n">
        <v>92</v>
      </c>
      <c r="H24" s="92" t="n">
        <v>52</v>
      </c>
      <c r="I24" s="92" t="n">
        <v>10</v>
      </c>
    </row>
    <row r="25" customFormat="false" ht="15" hidden="false" customHeight="false" outlineLevel="0" collapsed="false">
      <c r="A25" s="92" t="n">
        <v>24</v>
      </c>
      <c r="B25" s="92" t="s">
        <v>59</v>
      </c>
      <c r="C25" s="92"/>
      <c r="D25" s="92" t="s">
        <v>158</v>
      </c>
      <c r="E25" s="93" t="n">
        <v>109.71675</v>
      </c>
      <c r="F25" s="93" t="n">
        <v>23.5333333333333</v>
      </c>
      <c r="G25" s="92" t="n">
        <v>94</v>
      </c>
      <c r="H25" s="92" t="n">
        <v>43</v>
      </c>
      <c r="I25" s="92" t="n">
        <v>90</v>
      </c>
    </row>
    <row r="26" customFormat="false" ht="15" hidden="false" customHeight="false" outlineLevel="0" collapsed="false">
      <c r="A26" s="92" t="n">
        <v>25</v>
      </c>
      <c r="B26" s="92" t="s">
        <v>61</v>
      </c>
      <c r="C26" s="92"/>
      <c r="D26" s="92" t="s">
        <v>158</v>
      </c>
      <c r="E26" s="93" t="n">
        <v>125.14425</v>
      </c>
      <c r="F26" s="93" t="n">
        <v>34.0333333333333</v>
      </c>
      <c r="G26" s="92" t="n">
        <v>90</v>
      </c>
      <c r="H26" s="92" t="n">
        <v>48</v>
      </c>
      <c r="I26" s="92" t="n">
        <v>80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I27" activeCellId="0" sqref="I27"/>
    </sheetView>
  </sheetViews>
  <sheetFormatPr defaultColWidth="8.5390625" defaultRowHeight="15" zeroHeight="false" outlineLevelRow="0" outlineLevelCol="0"/>
  <cols>
    <col collapsed="false" customWidth="true" hidden="false" outlineLevel="0" max="3" min="3" style="0" width="24"/>
  </cols>
  <sheetData>
    <row r="1" customFormat="false" ht="15" hidden="false" customHeight="false" outlineLevel="0" collapsed="false">
      <c r="A1" s="5" t="s">
        <v>159</v>
      </c>
      <c r="B1" s="5" t="s">
        <v>140</v>
      </c>
      <c r="C1" s="5" t="s">
        <v>141</v>
      </c>
      <c r="D1" s="2" t="s">
        <v>2</v>
      </c>
      <c r="E1" s="94" t="s">
        <v>160</v>
      </c>
      <c r="F1" s="95" t="s">
        <v>161</v>
      </c>
      <c r="G1" s="95" t="s">
        <v>162</v>
      </c>
      <c r="H1" s="95" t="s">
        <v>163</v>
      </c>
      <c r="I1" s="95" t="s">
        <v>164</v>
      </c>
      <c r="J1" s="95" t="s">
        <v>165</v>
      </c>
      <c r="K1" s="96" t="s">
        <v>166</v>
      </c>
    </row>
    <row r="2" customFormat="false" ht="15" hidden="false" customHeight="false" outlineLevel="0" collapsed="false">
      <c r="A2" s="5" t="s">
        <v>167</v>
      </c>
      <c r="B2" s="5" t="n">
        <v>1</v>
      </c>
      <c r="C2" s="5" t="s">
        <v>13</v>
      </c>
      <c r="D2" s="5" t="s">
        <v>14</v>
      </c>
      <c r="E2" s="94" t="n">
        <v>90.7</v>
      </c>
      <c r="F2" s="97" t="n">
        <v>23</v>
      </c>
      <c r="G2" s="95" t="n">
        <v>41.7</v>
      </c>
      <c r="H2" s="95" t="n">
        <v>105</v>
      </c>
      <c r="I2" s="95" t="n">
        <v>28.5</v>
      </c>
      <c r="J2" s="95" t="n">
        <v>1</v>
      </c>
      <c r="K2" s="96" t="n">
        <v>3.5</v>
      </c>
    </row>
    <row r="3" customFormat="false" ht="15" hidden="false" customHeight="false" outlineLevel="0" collapsed="false">
      <c r="A3" s="5" t="s">
        <v>167</v>
      </c>
      <c r="B3" s="5" t="n">
        <v>2</v>
      </c>
      <c r="C3" s="5" t="s">
        <v>15</v>
      </c>
      <c r="D3" s="9" t="s">
        <v>16</v>
      </c>
      <c r="E3" s="94" t="n">
        <v>114.1</v>
      </c>
      <c r="F3" s="97" t="n">
        <v>9</v>
      </c>
      <c r="G3" s="95" t="n">
        <v>39.7</v>
      </c>
      <c r="H3" s="95" t="n">
        <v>103.5</v>
      </c>
      <c r="I3" s="95" t="n">
        <v>35.5</v>
      </c>
      <c r="J3" s="95" t="n">
        <v>1</v>
      </c>
      <c r="K3" s="96" t="n">
        <v>2.5</v>
      </c>
    </row>
    <row r="4" customFormat="false" ht="15" hidden="false" customHeight="false" outlineLevel="0" collapsed="false">
      <c r="A4" s="5" t="s">
        <v>167</v>
      </c>
      <c r="B4" s="5" t="n">
        <v>3</v>
      </c>
      <c r="C4" s="5" t="s">
        <v>17</v>
      </c>
      <c r="D4" s="5" t="s">
        <v>18</v>
      </c>
      <c r="E4" s="94" t="n">
        <v>119.8</v>
      </c>
      <c r="F4" s="97" t="n">
        <v>7</v>
      </c>
      <c r="G4" s="95" t="n">
        <v>42.4</v>
      </c>
      <c r="H4" s="95" t="n">
        <v>106.5</v>
      </c>
      <c r="I4" s="95" t="n">
        <v>32.5</v>
      </c>
      <c r="J4" s="95" t="n">
        <v>1</v>
      </c>
      <c r="K4" s="96" t="n">
        <v>5</v>
      </c>
    </row>
    <row r="5" customFormat="false" ht="15" hidden="false" customHeight="false" outlineLevel="0" collapsed="false">
      <c r="A5" s="5" t="s">
        <v>167</v>
      </c>
      <c r="B5" s="5" t="n">
        <v>4</v>
      </c>
      <c r="C5" s="5" t="s">
        <v>19</v>
      </c>
      <c r="D5" s="5" t="s">
        <v>20</v>
      </c>
      <c r="E5" s="94" t="n">
        <v>99.7</v>
      </c>
      <c r="F5" s="97" t="n">
        <v>18</v>
      </c>
      <c r="G5" s="95" t="n">
        <v>40.9</v>
      </c>
      <c r="H5" s="95" t="n">
        <v>108</v>
      </c>
      <c r="I5" s="95" t="n">
        <v>30</v>
      </c>
      <c r="J5" s="95" t="n">
        <v>1</v>
      </c>
      <c r="K5" s="96" t="n">
        <v>4.5</v>
      </c>
    </row>
    <row r="6" customFormat="false" ht="15" hidden="false" customHeight="false" outlineLevel="0" collapsed="false">
      <c r="A6" s="5" t="s">
        <v>167</v>
      </c>
      <c r="B6" s="5" t="n">
        <v>5</v>
      </c>
      <c r="C6" s="5" t="s">
        <v>21</v>
      </c>
      <c r="D6" s="9" t="s">
        <v>22</v>
      </c>
      <c r="E6" s="94" t="n">
        <v>90.1</v>
      </c>
      <c r="F6" s="97" t="n">
        <v>25</v>
      </c>
      <c r="G6" s="95" t="n">
        <v>40.5</v>
      </c>
      <c r="H6" s="95" t="n">
        <v>103.5</v>
      </c>
      <c r="I6" s="95" t="n">
        <v>29</v>
      </c>
      <c r="J6" s="95" t="n">
        <v>0.5</v>
      </c>
      <c r="K6" s="96" t="n">
        <v>5.5</v>
      </c>
    </row>
    <row r="7" customFormat="false" ht="15" hidden="false" customHeight="false" outlineLevel="0" collapsed="false">
      <c r="A7" s="5" t="s">
        <v>167</v>
      </c>
      <c r="B7" s="5" t="n">
        <v>6</v>
      </c>
      <c r="C7" s="5" t="s">
        <v>23</v>
      </c>
      <c r="D7" s="9" t="s">
        <v>24</v>
      </c>
      <c r="E7" s="94" t="n">
        <v>99.5</v>
      </c>
      <c r="F7" s="97" t="n">
        <v>19</v>
      </c>
      <c r="G7" s="95" t="n">
        <v>42.5</v>
      </c>
      <c r="H7" s="95" t="n">
        <v>100</v>
      </c>
      <c r="I7" s="95" t="n">
        <v>34.5</v>
      </c>
      <c r="J7" s="95" t="n">
        <v>1</v>
      </c>
      <c r="K7" s="96" t="n">
        <v>2</v>
      </c>
    </row>
    <row r="8" customFormat="false" ht="15" hidden="false" customHeight="false" outlineLevel="0" collapsed="false">
      <c r="A8" s="5" t="s">
        <v>167</v>
      </c>
      <c r="B8" s="5" t="n">
        <v>7</v>
      </c>
      <c r="C8" s="5" t="s">
        <v>25</v>
      </c>
      <c r="D8" s="9" t="s">
        <v>26</v>
      </c>
      <c r="E8" s="94" t="n">
        <v>96.2</v>
      </c>
      <c r="F8" s="97" t="n">
        <v>21</v>
      </c>
      <c r="G8" s="95" t="n">
        <v>41.8</v>
      </c>
      <c r="H8" s="95" t="n">
        <v>113</v>
      </c>
      <c r="I8" s="95" t="n">
        <v>32</v>
      </c>
      <c r="J8" s="95" t="n">
        <v>1</v>
      </c>
      <c r="K8" s="96" t="n">
        <v>5.5</v>
      </c>
    </row>
    <row r="9" customFormat="false" ht="15" hidden="false" customHeight="false" outlineLevel="0" collapsed="false">
      <c r="A9" s="5" t="s">
        <v>167</v>
      </c>
      <c r="B9" s="5" t="n">
        <v>8</v>
      </c>
      <c r="C9" s="5" t="s">
        <v>27</v>
      </c>
      <c r="D9" s="9" t="s">
        <v>28</v>
      </c>
      <c r="E9" s="94" t="n">
        <v>102.9</v>
      </c>
      <c r="F9" s="97" t="n">
        <v>16</v>
      </c>
      <c r="G9" s="95" t="n">
        <v>41.2</v>
      </c>
      <c r="H9" s="95" t="n">
        <v>106</v>
      </c>
      <c r="I9" s="95" t="n">
        <v>33.5</v>
      </c>
      <c r="J9" s="95" t="n">
        <v>1</v>
      </c>
      <c r="K9" s="96" t="n">
        <v>4</v>
      </c>
    </row>
    <row r="10" customFormat="false" ht="15" hidden="false" customHeight="false" outlineLevel="0" collapsed="false">
      <c r="A10" s="5" t="s">
        <v>167</v>
      </c>
      <c r="B10" s="5" t="n">
        <v>9</v>
      </c>
      <c r="C10" s="5" t="s">
        <v>29</v>
      </c>
      <c r="D10" s="9" t="s">
        <v>30</v>
      </c>
      <c r="E10" s="94" t="n">
        <v>90.7</v>
      </c>
      <c r="F10" s="97" t="n">
        <v>24</v>
      </c>
      <c r="G10" s="95" t="n">
        <v>40.6</v>
      </c>
      <c r="H10" s="95" t="n">
        <v>111</v>
      </c>
      <c r="I10" s="95" t="n">
        <v>30.5</v>
      </c>
      <c r="J10" s="95" t="n">
        <v>0.5</v>
      </c>
      <c r="K10" s="96" t="n">
        <v>5.5</v>
      </c>
    </row>
    <row r="11" customFormat="false" ht="15" hidden="false" customHeight="false" outlineLevel="0" collapsed="false">
      <c r="A11" s="5" t="s">
        <v>167</v>
      </c>
      <c r="B11" s="5" t="n">
        <v>10</v>
      </c>
      <c r="C11" s="5" t="s">
        <v>31</v>
      </c>
      <c r="D11" s="9" t="s">
        <v>32</v>
      </c>
      <c r="E11" s="94" t="n">
        <v>92.4</v>
      </c>
      <c r="F11" s="97" t="n">
        <v>22</v>
      </c>
      <c r="G11" s="95" t="n">
        <v>39</v>
      </c>
      <c r="H11" s="95" t="n">
        <v>112</v>
      </c>
      <c r="I11" s="95" t="n">
        <v>35.5</v>
      </c>
      <c r="J11" s="95" t="n">
        <v>0.5</v>
      </c>
      <c r="K11" s="96" t="n">
        <v>4.5</v>
      </c>
    </row>
    <row r="12" customFormat="false" ht="15" hidden="false" customHeight="false" outlineLevel="0" collapsed="false">
      <c r="A12" s="5" t="s">
        <v>167</v>
      </c>
      <c r="B12" s="5" t="n">
        <v>11</v>
      </c>
      <c r="C12" s="5" t="s">
        <v>33</v>
      </c>
      <c r="D12" s="9" t="s">
        <v>34</v>
      </c>
      <c r="E12" s="94" t="n">
        <v>98</v>
      </c>
      <c r="F12" s="97" t="n">
        <v>20</v>
      </c>
      <c r="G12" s="95" t="n">
        <v>39.4</v>
      </c>
      <c r="H12" s="95" t="n">
        <v>110</v>
      </c>
      <c r="I12" s="95" t="n">
        <v>29.5</v>
      </c>
      <c r="J12" s="95" t="n">
        <v>1</v>
      </c>
      <c r="K12" s="96" t="n">
        <v>4.5</v>
      </c>
    </row>
    <row r="13" customFormat="false" ht="15" hidden="false" customHeight="false" outlineLevel="0" collapsed="false">
      <c r="A13" s="5" t="s">
        <v>167</v>
      </c>
      <c r="B13" s="5" t="n">
        <v>12</v>
      </c>
      <c r="C13" s="5" t="s">
        <v>35</v>
      </c>
      <c r="D13" s="9" t="s">
        <v>36</v>
      </c>
      <c r="E13" s="94" t="n">
        <v>111.5</v>
      </c>
      <c r="F13" s="97" t="n">
        <v>11</v>
      </c>
      <c r="G13" s="95" t="n">
        <v>43.5</v>
      </c>
      <c r="H13" s="95" t="n">
        <v>107.5</v>
      </c>
      <c r="I13" s="95" t="n">
        <v>30.5</v>
      </c>
      <c r="J13" s="95" t="n">
        <v>1.5</v>
      </c>
      <c r="K13" s="96" t="n">
        <v>4</v>
      </c>
    </row>
    <row r="14" customFormat="false" ht="15" hidden="false" customHeight="false" outlineLevel="0" collapsed="false">
      <c r="A14" s="5" t="s">
        <v>167</v>
      </c>
      <c r="B14" s="5" t="n">
        <v>13</v>
      </c>
      <c r="C14" s="5" t="s">
        <v>37</v>
      </c>
      <c r="D14" s="9" t="s">
        <v>38</v>
      </c>
      <c r="E14" s="94" t="n">
        <v>119.8</v>
      </c>
      <c r="F14" s="97" t="n">
        <v>6</v>
      </c>
      <c r="G14" s="95" t="n">
        <v>42.9</v>
      </c>
      <c r="H14" s="95" t="n">
        <v>107</v>
      </c>
      <c r="I14" s="95" t="n">
        <v>30.5</v>
      </c>
      <c r="J14" s="95" t="n">
        <v>1</v>
      </c>
      <c r="K14" s="96" t="n">
        <v>2.5</v>
      </c>
    </row>
    <row r="15" customFormat="false" ht="15" hidden="false" customHeight="false" outlineLevel="0" collapsed="false">
      <c r="A15" s="5" t="s">
        <v>167</v>
      </c>
      <c r="B15" s="5" t="n">
        <v>14</v>
      </c>
      <c r="C15" s="5" t="s">
        <v>39</v>
      </c>
      <c r="D15" s="9" t="s">
        <v>40</v>
      </c>
      <c r="E15" s="94" t="n">
        <v>113.4</v>
      </c>
      <c r="F15" s="97" t="n">
        <v>10</v>
      </c>
      <c r="G15" s="95" t="n">
        <v>43.3</v>
      </c>
      <c r="H15" s="95" t="n">
        <v>106.5</v>
      </c>
      <c r="I15" s="95" t="n">
        <v>28</v>
      </c>
      <c r="J15" s="95" t="n">
        <v>1</v>
      </c>
      <c r="K15" s="96" t="n">
        <v>2.5</v>
      </c>
    </row>
    <row r="16" customFormat="false" ht="15" hidden="false" customHeight="false" outlineLevel="0" collapsed="false">
      <c r="A16" s="5" t="s">
        <v>167</v>
      </c>
      <c r="B16" s="5" t="n">
        <v>15</v>
      </c>
      <c r="C16" s="5" t="s">
        <v>41</v>
      </c>
      <c r="D16" s="9" t="s">
        <v>42</v>
      </c>
      <c r="E16" s="94" t="n">
        <v>137.7</v>
      </c>
      <c r="F16" s="97" t="n">
        <v>2</v>
      </c>
      <c r="G16" s="95" t="n">
        <v>44.2</v>
      </c>
      <c r="H16" s="95" t="n">
        <v>108</v>
      </c>
      <c r="I16" s="95" t="n">
        <v>32.5</v>
      </c>
      <c r="J16" s="95" t="n">
        <v>1</v>
      </c>
      <c r="K16" s="96" t="n">
        <v>4.5</v>
      </c>
    </row>
    <row r="17" customFormat="false" ht="15" hidden="false" customHeight="false" outlineLevel="0" collapsed="false">
      <c r="A17" s="5" t="s">
        <v>167</v>
      </c>
      <c r="B17" s="5" t="n">
        <v>16</v>
      </c>
      <c r="C17" s="5" t="s">
        <v>43</v>
      </c>
      <c r="D17" s="9" t="s">
        <v>44</v>
      </c>
      <c r="E17" s="94" t="n">
        <v>102.7</v>
      </c>
      <c r="F17" s="97" t="n">
        <v>17</v>
      </c>
      <c r="G17" s="95" t="n">
        <v>43.3</v>
      </c>
      <c r="H17" s="95" t="n">
        <v>104</v>
      </c>
      <c r="I17" s="95" t="n">
        <v>35</v>
      </c>
      <c r="J17" s="95" t="n">
        <v>1</v>
      </c>
      <c r="K17" s="96" t="n">
        <v>4.5</v>
      </c>
    </row>
    <row r="18" customFormat="false" ht="15" hidden="false" customHeight="false" outlineLevel="0" collapsed="false">
      <c r="A18" s="5" t="s">
        <v>167</v>
      </c>
      <c r="B18" s="5" t="n">
        <v>17</v>
      </c>
      <c r="C18" s="5" t="s">
        <v>45</v>
      </c>
      <c r="D18" s="9" t="s">
        <v>46</v>
      </c>
      <c r="E18" s="94" t="n">
        <v>105.6</v>
      </c>
      <c r="F18" s="97" t="n">
        <v>13</v>
      </c>
      <c r="G18" s="95" t="n">
        <v>42.9</v>
      </c>
      <c r="H18" s="95" t="n">
        <v>112</v>
      </c>
      <c r="I18" s="95" t="n">
        <v>33</v>
      </c>
      <c r="J18" s="95" t="n">
        <v>1</v>
      </c>
      <c r="K18" s="96" t="n">
        <v>5</v>
      </c>
    </row>
    <row r="19" customFormat="false" ht="15" hidden="false" customHeight="false" outlineLevel="0" collapsed="false">
      <c r="A19" s="5" t="s">
        <v>167</v>
      </c>
      <c r="B19" s="5" t="n">
        <v>18</v>
      </c>
      <c r="C19" s="5" t="s">
        <v>47</v>
      </c>
      <c r="D19" s="9" t="s">
        <v>48</v>
      </c>
      <c r="E19" s="94" t="n">
        <v>104.9</v>
      </c>
      <c r="F19" s="97" t="n">
        <v>15</v>
      </c>
      <c r="G19" s="95" t="n">
        <v>39.4</v>
      </c>
      <c r="H19" s="95" t="n">
        <v>103</v>
      </c>
      <c r="I19" s="95" t="n">
        <v>33</v>
      </c>
      <c r="J19" s="95" t="n">
        <v>1</v>
      </c>
      <c r="K19" s="96" t="n">
        <v>2</v>
      </c>
    </row>
    <row r="20" customFormat="false" ht="15" hidden="false" customHeight="false" outlineLevel="0" collapsed="false">
      <c r="A20" s="5" t="s">
        <v>167</v>
      </c>
      <c r="B20" s="5" t="n">
        <v>19</v>
      </c>
      <c r="C20" s="5" t="s">
        <v>49</v>
      </c>
      <c r="D20" s="9" t="s">
        <v>50</v>
      </c>
      <c r="E20" s="94" t="n">
        <v>145</v>
      </c>
      <c r="F20" s="97" t="n">
        <v>1</v>
      </c>
      <c r="G20" s="95" t="n">
        <v>40.3</v>
      </c>
      <c r="H20" s="95" t="n">
        <v>108.5</v>
      </c>
      <c r="I20" s="95" t="n">
        <v>35</v>
      </c>
      <c r="J20" s="95" t="n">
        <v>1.5</v>
      </c>
      <c r="K20" s="96" t="n">
        <v>4</v>
      </c>
    </row>
    <row r="21" customFormat="false" ht="15" hidden="false" customHeight="false" outlineLevel="0" collapsed="false">
      <c r="A21" s="5" t="s">
        <v>167</v>
      </c>
      <c r="B21" s="5" t="n">
        <v>20</v>
      </c>
      <c r="C21" s="5" t="s">
        <v>51</v>
      </c>
      <c r="D21" s="9" t="s">
        <v>52</v>
      </c>
      <c r="E21" s="94" t="n">
        <v>114.3</v>
      </c>
      <c r="F21" s="97" t="n">
        <v>8</v>
      </c>
      <c r="G21" s="95" t="n">
        <v>41.3</v>
      </c>
      <c r="H21" s="95" t="n">
        <v>106.5</v>
      </c>
      <c r="I21" s="95" t="n">
        <v>33</v>
      </c>
      <c r="J21" s="95" t="n">
        <v>1</v>
      </c>
      <c r="K21" s="96" t="n">
        <v>2</v>
      </c>
    </row>
    <row r="22" customFormat="false" ht="15" hidden="false" customHeight="false" outlineLevel="0" collapsed="false">
      <c r="A22" s="5" t="s">
        <v>167</v>
      </c>
      <c r="B22" s="5" t="n">
        <v>21</v>
      </c>
      <c r="C22" s="5" t="s">
        <v>53</v>
      </c>
      <c r="D22" s="9" t="s">
        <v>54</v>
      </c>
      <c r="E22" s="94" t="n">
        <v>120.5</v>
      </c>
      <c r="F22" s="97" t="n">
        <v>5</v>
      </c>
      <c r="G22" s="95" t="n">
        <v>37.4</v>
      </c>
      <c r="H22" s="95" t="n">
        <v>112</v>
      </c>
      <c r="I22" s="95" t="n">
        <v>31.5</v>
      </c>
      <c r="J22" s="95" t="n">
        <v>0.5</v>
      </c>
      <c r="K22" s="96" t="n">
        <v>4</v>
      </c>
    </row>
    <row r="23" customFormat="false" ht="15" hidden="false" customHeight="false" outlineLevel="0" collapsed="false">
      <c r="A23" s="5" t="s">
        <v>167</v>
      </c>
      <c r="B23" s="5" t="n">
        <v>22</v>
      </c>
      <c r="C23" s="5" t="s">
        <v>55</v>
      </c>
      <c r="D23" s="9" t="s">
        <v>56</v>
      </c>
      <c r="E23" s="94" t="n">
        <v>121.1</v>
      </c>
      <c r="F23" s="97" t="n">
        <v>4</v>
      </c>
      <c r="G23" s="95" t="n">
        <v>42.1</v>
      </c>
      <c r="H23" s="95" t="n">
        <v>103.5</v>
      </c>
      <c r="I23" s="95" t="n">
        <v>39</v>
      </c>
      <c r="J23" s="95" t="n">
        <v>1.5</v>
      </c>
      <c r="K23" s="96" t="n">
        <v>5</v>
      </c>
    </row>
    <row r="24" customFormat="false" ht="15" hidden="false" customHeight="false" outlineLevel="0" collapsed="false">
      <c r="A24" s="5" t="s">
        <v>167</v>
      </c>
      <c r="B24" s="5" t="n">
        <v>23</v>
      </c>
      <c r="C24" s="5" t="s">
        <v>57</v>
      </c>
      <c r="D24" s="9" t="s">
        <v>58</v>
      </c>
      <c r="E24" s="94" t="n">
        <v>105.6</v>
      </c>
      <c r="F24" s="97" t="n">
        <v>14</v>
      </c>
      <c r="G24" s="95" t="n">
        <v>41.8</v>
      </c>
      <c r="H24" s="95" t="n">
        <v>108</v>
      </c>
      <c r="I24" s="95" t="n">
        <v>34.5</v>
      </c>
      <c r="J24" s="95" t="n">
        <v>0.5</v>
      </c>
      <c r="K24" s="96" t="n">
        <v>1.5</v>
      </c>
    </row>
    <row r="25" customFormat="false" ht="15" hidden="false" customHeight="false" outlineLevel="0" collapsed="false">
      <c r="A25" s="5" t="s">
        <v>167</v>
      </c>
      <c r="B25" s="5" t="n">
        <v>24</v>
      </c>
      <c r="C25" s="5" t="s">
        <v>59</v>
      </c>
      <c r="D25" s="9" t="s">
        <v>60</v>
      </c>
      <c r="E25" s="94" t="n">
        <v>133.7</v>
      </c>
      <c r="F25" s="97" t="n">
        <v>3</v>
      </c>
      <c r="G25" s="95" t="n">
        <v>42.7</v>
      </c>
      <c r="H25" s="95" t="n">
        <v>106.5</v>
      </c>
      <c r="I25" s="95" t="n">
        <v>32</v>
      </c>
      <c r="J25" s="95" t="n">
        <v>0.5</v>
      </c>
      <c r="K25" s="96" t="n">
        <v>4</v>
      </c>
    </row>
    <row r="26" customFormat="false" ht="15.75" hidden="false" customHeight="false" outlineLevel="0" collapsed="false">
      <c r="A26" s="98" t="s">
        <v>167</v>
      </c>
      <c r="B26" s="98" t="n">
        <v>25</v>
      </c>
      <c r="C26" s="98" t="s">
        <v>61</v>
      </c>
      <c r="D26" s="99" t="s">
        <v>62</v>
      </c>
      <c r="E26" s="100" t="n">
        <v>107.3</v>
      </c>
      <c r="F26" s="101" t="n">
        <v>12</v>
      </c>
      <c r="G26" s="102" t="n">
        <v>42.1</v>
      </c>
      <c r="H26" s="102" t="n">
        <v>101</v>
      </c>
      <c r="I26" s="102" t="n">
        <v>35</v>
      </c>
      <c r="J26" s="102" t="n">
        <v>1.5</v>
      </c>
      <c r="K26" s="103" t="n">
        <v>6</v>
      </c>
    </row>
    <row r="27" customFormat="false" ht="15" hidden="false" customHeight="false" outlineLevel="0" collapsed="false">
      <c r="A27" s="46"/>
      <c r="B27" s="46"/>
      <c r="C27" s="5" t="s">
        <v>168</v>
      </c>
      <c r="D27" s="46"/>
      <c r="E27" s="94" t="n">
        <v>109.462</v>
      </c>
      <c r="F27" s="46"/>
      <c r="G27" s="95" t="n">
        <v>41.454</v>
      </c>
      <c r="H27" s="95" t="n">
        <v>106.9</v>
      </c>
      <c r="I27" s="95" t="n">
        <v>32.54</v>
      </c>
      <c r="J27" s="95" t="n">
        <v>0.96</v>
      </c>
      <c r="K27" s="96" t="n">
        <v>3.94</v>
      </c>
    </row>
    <row r="28" customFormat="false" ht="15" hidden="false" customHeight="false" outlineLevel="0" collapsed="false">
      <c r="A28" s="46"/>
      <c r="B28" s="46"/>
      <c r="C28" s="5" t="s">
        <v>126</v>
      </c>
      <c r="D28" s="46"/>
      <c r="E28" s="94" t="n">
        <v>14.17282</v>
      </c>
      <c r="F28" s="46"/>
      <c r="G28" s="95" t="n">
        <v>1.88991</v>
      </c>
      <c r="H28" s="95" t="n">
        <v>1.76749</v>
      </c>
      <c r="I28" s="95" t="n">
        <v>7.29615</v>
      </c>
      <c r="J28" s="95" t="n">
        <v>45.99875</v>
      </c>
      <c r="K28" s="96" t="n">
        <v>36.6339</v>
      </c>
    </row>
    <row r="29" customFormat="false" ht="15" hidden="false" customHeight="false" outlineLevel="0" collapsed="false">
      <c r="A29" s="46"/>
      <c r="B29" s="46"/>
      <c r="C29" s="5" t="s">
        <v>169</v>
      </c>
      <c r="D29" s="46"/>
      <c r="E29" s="94" t="n">
        <v>38.66299</v>
      </c>
      <c r="F29" s="46"/>
      <c r="G29" s="95" t="n">
        <v>1.95247</v>
      </c>
      <c r="H29" s="95" t="n">
        <v>4.7088</v>
      </c>
      <c r="I29" s="95" t="n">
        <v>5.9168</v>
      </c>
      <c r="J29" s="95" t="n">
        <v>1.10051</v>
      </c>
      <c r="K29" s="96" t="n">
        <v>3.59712</v>
      </c>
    </row>
    <row r="30" customFormat="false" ht="15" hidden="false" customHeight="false" outlineLevel="0" collapsed="false">
      <c r="A30" s="46"/>
      <c r="B30" s="46"/>
      <c r="C30" s="5" t="s">
        <v>170</v>
      </c>
      <c r="D30" s="46"/>
      <c r="E30" s="94" t="n">
        <v>144.95</v>
      </c>
      <c r="F30" s="46"/>
      <c r="G30" s="95" t="n">
        <v>44.15</v>
      </c>
      <c r="H30" s="95" t="n">
        <v>113</v>
      </c>
      <c r="I30" s="95" t="n">
        <v>39</v>
      </c>
      <c r="J30" s="95" t="n">
        <v>1.5</v>
      </c>
      <c r="K30" s="96" t="n">
        <v>6</v>
      </c>
    </row>
    <row r="31" customFormat="false" ht="15" hidden="false" customHeight="false" outlineLevel="0" collapsed="false">
      <c r="A31" s="46"/>
      <c r="B31" s="46"/>
      <c r="C31" s="5" t="s">
        <v>171</v>
      </c>
      <c r="D31" s="46"/>
      <c r="E31" s="94" t="n">
        <v>90.1</v>
      </c>
      <c r="F31" s="46"/>
      <c r="G31" s="95" t="n">
        <v>37.35</v>
      </c>
      <c r="H31" s="95" t="n">
        <v>100</v>
      </c>
      <c r="I31" s="95" t="n">
        <v>28</v>
      </c>
      <c r="J31" s="95" t="n">
        <v>0.5</v>
      </c>
      <c r="K31" s="96" t="n">
        <v>1.5</v>
      </c>
    </row>
    <row r="32" customFormat="false" ht="15" hidden="false" customHeight="false" outlineLevel="0" collapsed="false">
      <c r="C32" s="104" t="s">
        <v>95</v>
      </c>
      <c r="D32" s="104"/>
      <c r="E32" s="105" t="n">
        <v>0.66934</v>
      </c>
      <c r="F32" s="104"/>
      <c r="G32" s="104" t="n">
        <v>0.90192</v>
      </c>
      <c r="H32" s="104" t="n">
        <v>0.87592</v>
      </c>
      <c r="I32" s="104" t="n">
        <v>0.72189</v>
      </c>
      <c r="J32" s="104" t="n">
        <v>0.52823</v>
      </c>
      <c r="K32" s="106" t="n">
        <v>0.62914</v>
      </c>
    </row>
    <row r="33" customFormat="false" ht="15" hidden="false" customHeight="false" outlineLevel="0" collapsed="false">
      <c r="C33" s="97" t="s">
        <v>172</v>
      </c>
      <c r="D33" s="97"/>
      <c r="E33" s="107" t="n">
        <v>2</v>
      </c>
      <c r="F33" s="97"/>
      <c r="G33" s="97" t="n">
        <v>2</v>
      </c>
      <c r="H33" s="97" t="n">
        <v>2</v>
      </c>
      <c r="I33" s="97" t="n">
        <v>2</v>
      </c>
      <c r="J33" s="97" t="n">
        <v>2</v>
      </c>
      <c r="K33" s="108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L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H27" activeCellId="0" sqref="H27"/>
    </sheetView>
  </sheetViews>
  <sheetFormatPr defaultColWidth="8.5390625" defaultRowHeight="15" zeroHeight="false" outlineLevelRow="0" outlineLevelCol="0"/>
  <cols>
    <col collapsed="false" customWidth="true" hidden="false" outlineLevel="0" max="4" min="4" style="0" width="13.28"/>
  </cols>
  <sheetData>
    <row r="1" customFormat="false" ht="15" hidden="false" customHeight="false" outlineLevel="0" collapsed="false">
      <c r="A1" s="5" t="s">
        <v>159</v>
      </c>
      <c r="B1" s="5" t="s">
        <v>140</v>
      </c>
      <c r="C1" s="5" t="s">
        <v>141</v>
      </c>
      <c r="D1" s="2" t="s">
        <v>2</v>
      </c>
      <c r="E1" s="95" t="s">
        <v>160</v>
      </c>
      <c r="F1" s="95" t="s">
        <v>161</v>
      </c>
      <c r="G1" s="95" t="s">
        <v>162</v>
      </c>
      <c r="H1" s="95" t="s">
        <v>164</v>
      </c>
      <c r="I1" s="95" t="s">
        <v>165</v>
      </c>
      <c r="J1" s="95" t="s">
        <v>173</v>
      </c>
      <c r="K1" s="95" t="s">
        <v>174</v>
      </c>
      <c r="L1" s="95" t="s">
        <v>166</v>
      </c>
    </row>
    <row r="2" customFormat="false" ht="15" hidden="false" customHeight="false" outlineLevel="0" collapsed="false">
      <c r="A2" s="5" t="s">
        <v>167</v>
      </c>
      <c r="B2" s="5" t="n">
        <v>1</v>
      </c>
      <c r="C2" s="5" t="s">
        <v>13</v>
      </c>
      <c r="D2" s="5" t="s">
        <v>14</v>
      </c>
      <c r="E2" s="95" t="n">
        <v>150.2</v>
      </c>
      <c r="F2" s="97" t="n">
        <v>8</v>
      </c>
      <c r="G2" s="95" t="n">
        <v>34.9</v>
      </c>
      <c r="H2" s="95" t="n">
        <v>40.2</v>
      </c>
      <c r="I2" s="95" t="n">
        <v>1.2</v>
      </c>
      <c r="J2" s="95" t="n">
        <v>2</v>
      </c>
      <c r="K2" s="95" t="n">
        <v>4.8</v>
      </c>
      <c r="L2" s="95" t="n">
        <v>0.4</v>
      </c>
    </row>
    <row r="3" customFormat="false" ht="15" hidden="false" customHeight="false" outlineLevel="0" collapsed="false">
      <c r="A3" s="5" t="s">
        <v>167</v>
      </c>
      <c r="B3" s="5" t="n">
        <v>2</v>
      </c>
      <c r="C3" s="5" t="s">
        <v>15</v>
      </c>
      <c r="D3" s="9" t="s">
        <v>16</v>
      </c>
      <c r="E3" s="95" t="n">
        <v>166.6</v>
      </c>
      <c r="F3" s="97" t="n">
        <v>2</v>
      </c>
      <c r="G3" s="95" t="n">
        <v>33.6</v>
      </c>
      <c r="H3" s="95" t="n">
        <v>47</v>
      </c>
      <c r="I3" s="95" t="n">
        <v>1</v>
      </c>
      <c r="J3" s="95" t="n">
        <v>3.5</v>
      </c>
      <c r="K3" s="95" t="n">
        <v>2</v>
      </c>
      <c r="L3" s="95" t="n">
        <v>2</v>
      </c>
    </row>
    <row r="4" customFormat="false" ht="15" hidden="false" customHeight="false" outlineLevel="0" collapsed="false">
      <c r="A4" s="5" t="s">
        <v>167</v>
      </c>
      <c r="B4" s="5" t="n">
        <v>3</v>
      </c>
      <c r="C4" s="5" t="s">
        <v>17</v>
      </c>
      <c r="D4" s="5" t="s">
        <v>18</v>
      </c>
      <c r="E4" s="95" t="n">
        <v>134.5</v>
      </c>
      <c r="F4" s="97" t="n">
        <v>16</v>
      </c>
      <c r="G4" s="95" t="n">
        <v>34.1</v>
      </c>
      <c r="H4" s="95" t="n">
        <v>47</v>
      </c>
      <c r="I4" s="95" t="n">
        <v>1</v>
      </c>
      <c r="J4" s="95" t="n">
        <v>5</v>
      </c>
      <c r="K4" s="95" t="n">
        <v>5.5</v>
      </c>
      <c r="L4" s="95" t="n">
        <v>3.5</v>
      </c>
    </row>
    <row r="5" customFormat="false" ht="15" hidden="false" customHeight="false" outlineLevel="0" collapsed="false">
      <c r="A5" s="5" t="s">
        <v>167</v>
      </c>
      <c r="B5" s="5" t="n">
        <v>4</v>
      </c>
      <c r="C5" s="5" t="s">
        <v>19</v>
      </c>
      <c r="D5" s="5" t="s">
        <v>20</v>
      </c>
      <c r="E5" s="95" t="n">
        <v>104.2</v>
      </c>
      <c r="F5" s="97" t="n">
        <v>24</v>
      </c>
      <c r="G5" s="95" t="n">
        <v>32.2</v>
      </c>
      <c r="H5" s="95" t="n">
        <v>39.5</v>
      </c>
      <c r="I5" s="95" t="n">
        <v>2</v>
      </c>
      <c r="J5" s="95" t="n">
        <v>7.5</v>
      </c>
      <c r="K5" s="95" t="n">
        <v>7.5</v>
      </c>
      <c r="L5" s="95" t="n">
        <v>4.5</v>
      </c>
    </row>
    <row r="6" customFormat="false" ht="15" hidden="false" customHeight="false" outlineLevel="0" collapsed="false">
      <c r="A6" s="5" t="s">
        <v>167</v>
      </c>
      <c r="B6" s="5" t="n">
        <v>5</v>
      </c>
      <c r="C6" s="5" t="s">
        <v>21</v>
      </c>
      <c r="D6" s="9" t="s">
        <v>22</v>
      </c>
      <c r="E6" s="95" t="n">
        <v>129.1</v>
      </c>
      <c r="F6" s="97" t="n">
        <v>19</v>
      </c>
      <c r="G6" s="95" t="n">
        <v>31.2</v>
      </c>
      <c r="H6" s="95" t="n">
        <v>32.5</v>
      </c>
      <c r="I6" s="95" t="n">
        <v>0.5</v>
      </c>
      <c r="J6" s="95" t="n">
        <v>7</v>
      </c>
      <c r="K6" s="95" t="n">
        <v>2</v>
      </c>
      <c r="L6" s="95" t="n">
        <v>7</v>
      </c>
    </row>
    <row r="7" customFormat="false" ht="15" hidden="false" customHeight="false" outlineLevel="0" collapsed="false">
      <c r="A7" s="5" t="s">
        <v>167</v>
      </c>
      <c r="B7" s="5" t="n">
        <v>6</v>
      </c>
      <c r="C7" s="5" t="s">
        <v>23</v>
      </c>
      <c r="D7" s="9" t="s">
        <v>24</v>
      </c>
      <c r="E7" s="95" t="n">
        <v>153.9</v>
      </c>
      <c r="F7" s="97" t="n">
        <v>6</v>
      </c>
      <c r="G7" s="95" t="n">
        <v>34.9</v>
      </c>
      <c r="H7" s="95" t="n">
        <v>42</v>
      </c>
      <c r="I7" s="95" t="n">
        <v>1</v>
      </c>
      <c r="J7" s="95" t="n">
        <v>6.5</v>
      </c>
      <c r="K7" s="95" t="n">
        <v>1.5</v>
      </c>
      <c r="L7" s="95" t="n">
        <v>2.5</v>
      </c>
    </row>
    <row r="8" customFormat="false" ht="15" hidden="false" customHeight="false" outlineLevel="0" collapsed="false">
      <c r="A8" s="5" t="s">
        <v>167</v>
      </c>
      <c r="B8" s="5" t="n">
        <v>7</v>
      </c>
      <c r="C8" s="5" t="s">
        <v>25</v>
      </c>
      <c r="D8" s="9" t="s">
        <v>26</v>
      </c>
      <c r="E8" s="95" t="n">
        <v>149.2</v>
      </c>
      <c r="F8" s="97" t="n">
        <v>9</v>
      </c>
      <c r="G8" s="95" t="n">
        <v>35.4</v>
      </c>
      <c r="H8" s="95" t="n">
        <v>44.5</v>
      </c>
      <c r="I8" s="95" t="n">
        <v>0.5</v>
      </c>
      <c r="J8" s="95" t="n">
        <v>3.5</v>
      </c>
      <c r="K8" s="95" t="n">
        <v>3</v>
      </c>
      <c r="L8" s="95" t="n">
        <v>1</v>
      </c>
    </row>
    <row r="9" customFormat="false" ht="15" hidden="false" customHeight="false" outlineLevel="0" collapsed="false">
      <c r="A9" s="5" t="s">
        <v>167</v>
      </c>
      <c r="B9" s="5" t="n">
        <v>8</v>
      </c>
      <c r="C9" s="5" t="s">
        <v>27</v>
      </c>
      <c r="D9" s="9" t="s">
        <v>28</v>
      </c>
      <c r="E9" s="95" t="n">
        <v>127.2</v>
      </c>
      <c r="F9" s="97" t="n">
        <v>20</v>
      </c>
      <c r="G9" s="95" t="n">
        <v>33.2</v>
      </c>
      <c r="H9" s="95" t="n">
        <v>44.5</v>
      </c>
      <c r="I9" s="95" t="n">
        <v>1</v>
      </c>
      <c r="J9" s="95" t="n">
        <v>5.5</v>
      </c>
      <c r="K9" s="95" t="n">
        <v>3</v>
      </c>
      <c r="L9" s="95" t="n">
        <v>0</v>
      </c>
    </row>
    <row r="10" customFormat="false" ht="15" hidden="false" customHeight="false" outlineLevel="0" collapsed="false">
      <c r="A10" s="5" t="s">
        <v>167</v>
      </c>
      <c r="B10" s="5" t="n">
        <v>9</v>
      </c>
      <c r="C10" s="5" t="s">
        <v>29</v>
      </c>
      <c r="D10" s="9" t="s">
        <v>30</v>
      </c>
      <c r="E10" s="95" t="n">
        <v>114.3</v>
      </c>
      <c r="F10" s="97" t="n">
        <v>23</v>
      </c>
      <c r="G10" s="95" t="n">
        <v>30.2</v>
      </c>
      <c r="H10" s="95" t="n">
        <v>46.2</v>
      </c>
      <c r="I10" s="95" t="n">
        <v>4.2</v>
      </c>
      <c r="J10" s="95" t="n">
        <v>4</v>
      </c>
      <c r="K10" s="95" t="n">
        <v>2.8</v>
      </c>
      <c r="L10" s="95" t="n">
        <v>5.4</v>
      </c>
    </row>
    <row r="11" customFormat="false" ht="15" hidden="false" customHeight="false" outlineLevel="0" collapsed="false">
      <c r="A11" s="5" t="s">
        <v>167</v>
      </c>
      <c r="B11" s="5" t="n">
        <v>10</v>
      </c>
      <c r="C11" s="5" t="s">
        <v>31</v>
      </c>
      <c r="D11" s="9" t="s">
        <v>32</v>
      </c>
      <c r="E11" s="95" t="n">
        <v>97.1</v>
      </c>
      <c r="F11" s="97" t="n">
        <v>25</v>
      </c>
      <c r="G11" s="95" t="n">
        <v>33.1</v>
      </c>
      <c r="H11" s="95" t="n">
        <v>49</v>
      </c>
      <c r="I11" s="95" t="n">
        <v>1</v>
      </c>
      <c r="J11" s="95" t="n">
        <v>3.5</v>
      </c>
      <c r="K11" s="95" t="n">
        <v>4.5</v>
      </c>
      <c r="L11" s="95" t="n">
        <v>5.5</v>
      </c>
    </row>
    <row r="12" customFormat="false" ht="15" hidden="false" customHeight="false" outlineLevel="0" collapsed="false">
      <c r="A12" s="5" t="s">
        <v>167</v>
      </c>
      <c r="B12" s="5" t="n">
        <v>11</v>
      </c>
      <c r="C12" s="5" t="s">
        <v>33</v>
      </c>
      <c r="D12" s="9" t="s">
        <v>34</v>
      </c>
      <c r="E12" s="95" t="n">
        <v>130.4</v>
      </c>
      <c r="F12" s="97" t="n">
        <v>17</v>
      </c>
      <c r="G12" s="95" t="n">
        <v>32.7</v>
      </c>
      <c r="H12" s="95" t="n">
        <v>48.2</v>
      </c>
      <c r="I12" s="95" t="n">
        <v>7.2</v>
      </c>
      <c r="J12" s="95" t="n">
        <v>4</v>
      </c>
      <c r="K12" s="95" t="n">
        <v>2.8</v>
      </c>
      <c r="L12" s="95" t="n">
        <v>5.4</v>
      </c>
    </row>
    <row r="13" customFormat="false" ht="15" hidden="false" customHeight="false" outlineLevel="0" collapsed="false">
      <c r="A13" s="5" t="s">
        <v>167</v>
      </c>
      <c r="B13" s="5" t="n">
        <v>12</v>
      </c>
      <c r="C13" s="5" t="s">
        <v>35</v>
      </c>
      <c r="D13" s="9" t="s">
        <v>36</v>
      </c>
      <c r="E13" s="95" t="n">
        <v>134.8</v>
      </c>
      <c r="F13" s="97" t="n">
        <v>14</v>
      </c>
      <c r="G13" s="95" t="n">
        <v>37.2</v>
      </c>
      <c r="H13" s="95" t="n">
        <v>36.5</v>
      </c>
      <c r="I13" s="95" t="n">
        <v>1</v>
      </c>
      <c r="J13" s="95" t="n">
        <v>4</v>
      </c>
      <c r="K13" s="95" t="n">
        <v>3.5</v>
      </c>
      <c r="L13" s="95" t="n">
        <v>2.5</v>
      </c>
    </row>
    <row r="14" customFormat="false" ht="15" hidden="false" customHeight="false" outlineLevel="0" collapsed="false">
      <c r="A14" s="5" t="s">
        <v>167</v>
      </c>
      <c r="B14" s="5" t="n">
        <v>13</v>
      </c>
      <c r="C14" s="5" t="s">
        <v>37</v>
      </c>
      <c r="D14" s="9" t="s">
        <v>38</v>
      </c>
      <c r="E14" s="95" t="n">
        <v>161.6</v>
      </c>
      <c r="F14" s="97" t="n">
        <v>3</v>
      </c>
      <c r="G14" s="95" t="n">
        <v>34.5</v>
      </c>
      <c r="H14" s="95" t="n">
        <v>42</v>
      </c>
      <c r="I14" s="95" t="n">
        <v>1</v>
      </c>
      <c r="J14" s="95" t="n">
        <v>3</v>
      </c>
      <c r="K14" s="95" t="n">
        <v>4.5</v>
      </c>
      <c r="L14" s="95" t="n">
        <v>2</v>
      </c>
    </row>
    <row r="15" customFormat="false" ht="15" hidden="false" customHeight="false" outlineLevel="0" collapsed="false">
      <c r="A15" s="5" t="s">
        <v>167</v>
      </c>
      <c r="B15" s="5" t="n">
        <v>14</v>
      </c>
      <c r="C15" s="5" t="s">
        <v>39</v>
      </c>
      <c r="D15" s="9" t="s">
        <v>40</v>
      </c>
      <c r="E15" s="95" t="n">
        <v>159.8</v>
      </c>
      <c r="F15" s="97" t="n">
        <v>5</v>
      </c>
      <c r="G15" s="95" t="n">
        <v>37</v>
      </c>
      <c r="H15" s="95" t="n">
        <v>43.5</v>
      </c>
      <c r="I15" s="95" t="n">
        <v>1.5</v>
      </c>
      <c r="J15" s="95" t="n">
        <v>3</v>
      </c>
      <c r="K15" s="95" t="n">
        <v>4</v>
      </c>
      <c r="L15" s="95" t="n">
        <v>1</v>
      </c>
    </row>
    <row r="16" customFormat="false" ht="15" hidden="false" customHeight="false" outlineLevel="0" collapsed="false">
      <c r="A16" s="5" t="s">
        <v>167</v>
      </c>
      <c r="B16" s="5" t="n">
        <v>15</v>
      </c>
      <c r="C16" s="5" t="s">
        <v>41</v>
      </c>
      <c r="D16" s="9" t="s">
        <v>42</v>
      </c>
      <c r="E16" s="95" t="n">
        <v>144.1</v>
      </c>
      <c r="F16" s="97" t="n">
        <v>10</v>
      </c>
      <c r="G16" s="95" t="n">
        <v>33.8</v>
      </c>
      <c r="H16" s="95" t="n">
        <v>44.5</v>
      </c>
      <c r="I16" s="95" t="n">
        <v>1</v>
      </c>
      <c r="J16" s="95" t="n">
        <v>2.5</v>
      </c>
      <c r="K16" s="95" t="n">
        <v>4</v>
      </c>
      <c r="L16" s="95" t="n">
        <v>4.5</v>
      </c>
    </row>
    <row r="17" customFormat="false" ht="15" hidden="false" customHeight="false" outlineLevel="0" collapsed="false">
      <c r="A17" s="5" t="s">
        <v>167</v>
      </c>
      <c r="B17" s="5" t="n">
        <v>16</v>
      </c>
      <c r="C17" s="5" t="s">
        <v>43</v>
      </c>
      <c r="D17" s="9" t="s">
        <v>44</v>
      </c>
      <c r="E17" s="95" t="n">
        <v>151.8</v>
      </c>
      <c r="F17" s="97" t="n">
        <v>7</v>
      </c>
      <c r="G17" s="95" t="n">
        <v>35.1</v>
      </c>
      <c r="H17" s="95" t="n">
        <v>47</v>
      </c>
      <c r="I17" s="95" t="n">
        <v>1</v>
      </c>
      <c r="J17" s="95" t="n">
        <v>4.5</v>
      </c>
      <c r="K17" s="95" t="n">
        <v>2.5</v>
      </c>
      <c r="L17" s="95" t="n">
        <v>0</v>
      </c>
    </row>
    <row r="18" customFormat="false" ht="15" hidden="false" customHeight="false" outlineLevel="0" collapsed="false">
      <c r="A18" s="5" t="s">
        <v>167</v>
      </c>
      <c r="B18" s="5" t="n">
        <v>17</v>
      </c>
      <c r="C18" s="5" t="s">
        <v>45</v>
      </c>
      <c r="D18" s="9" t="s">
        <v>46</v>
      </c>
      <c r="E18" s="95" t="n">
        <v>142.3</v>
      </c>
      <c r="F18" s="97" t="n">
        <v>11</v>
      </c>
      <c r="G18" s="95" t="n">
        <v>34.2</v>
      </c>
      <c r="H18" s="95" t="n">
        <v>44</v>
      </c>
      <c r="I18" s="95" t="n">
        <v>1.5</v>
      </c>
      <c r="J18" s="95" t="n">
        <v>4.5</v>
      </c>
      <c r="K18" s="95" t="n">
        <v>4</v>
      </c>
      <c r="L18" s="95" t="n">
        <v>3.5</v>
      </c>
    </row>
    <row r="19" customFormat="false" ht="15" hidden="false" customHeight="false" outlineLevel="0" collapsed="false">
      <c r="A19" s="5" t="s">
        <v>167</v>
      </c>
      <c r="B19" s="5" t="n">
        <v>18</v>
      </c>
      <c r="C19" s="5" t="s">
        <v>47</v>
      </c>
      <c r="D19" s="9" t="s">
        <v>48</v>
      </c>
      <c r="E19" s="95" t="n">
        <v>129.3</v>
      </c>
      <c r="F19" s="97" t="n">
        <v>18</v>
      </c>
      <c r="G19" s="95" t="n">
        <v>32.9</v>
      </c>
      <c r="H19" s="95" t="n">
        <v>42</v>
      </c>
      <c r="I19" s="95" t="n">
        <v>1</v>
      </c>
      <c r="J19" s="95" t="n">
        <v>3</v>
      </c>
      <c r="K19" s="95" t="n">
        <v>4</v>
      </c>
      <c r="L19" s="95" t="n">
        <v>1.5</v>
      </c>
    </row>
    <row r="20" customFormat="false" ht="15" hidden="false" customHeight="false" outlineLevel="0" collapsed="false">
      <c r="A20" s="5" t="s">
        <v>167</v>
      </c>
      <c r="B20" s="5" t="n">
        <v>19</v>
      </c>
      <c r="C20" s="5" t="s">
        <v>49</v>
      </c>
      <c r="D20" s="9" t="s">
        <v>50</v>
      </c>
      <c r="E20" s="95" t="n">
        <v>160.2</v>
      </c>
      <c r="F20" s="97" t="n">
        <v>4</v>
      </c>
      <c r="G20" s="95" t="n">
        <v>31</v>
      </c>
      <c r="H20" s="95" t="n">
        <v>42</v>
      </c>
      <c r="I20" s="95" t="n">
        <v>1.5</v>
      </c>
      <c r="J20" s="95" t="n">
        <v>5</v>
      </c>
      <c r="K20" s="95" t="n">
        <v>4</v>
      </c>
      <c r="L20" s="95" t="n">
        <v>3.5</v>
      </c>
    </row>
    <row r="21" customFormat="false" ht="15" hidden="false" customHeight="false" outlineLevel="0" collapsed="false">
      <c r="A21" s="5" t="s">
        <v>167</v>
      </c>
      <c r="B21" s="5" t="n">
        <v>20</v>
      </c>
      <c r="C21" s="5" t="s">
        <v>51</v>
      </c>
      <c r="D21" s="9" t="s">
        <v>52</v>
      </c>
      <c r="E21" s="95" t="n">
        <v>141.4</v>
      </c>
      <c r="F21" s="97" t="n">
        <v>12</v>
      </c>
      <c r="G21" s="95" t="n">
        <v>33.5</v>
      </c>
      <c r="H21" s="95" t="n">
        <v>46</v>
      </c>
      <c r="I21" s="95" t="n">
        <v>1</v>
      </c>
      <c r="J21" s="95" t="n">
        <v>6</v>
      </c>
      <c r="K21" s="95" t="n">
        <v>4</v>
      </c>
      <c r="L21" s="95" t="n">
        <v>2</v>
      </c>
    </row>
    <row r="22" customFormat="false" ht="15" hidden="false" customHeight="false" outlineLevel="0" collapsed="false">
      <c r="A22" s="5" t="s">
        <v>167</v>
      </c>
      <c r="B22" s="5" t="n">
        <v>21</v>
      </c>
      <c r="C22" s="5" t="s">
        <v>53</v>
      </c>
      <c r="D22" s="9" t="s">
        <v>54</v>
      </c>
      <c r="E22" s="95" t="n">
        <v>138.4</v>
      </c>
      <c r="F22" s="97" t="n">
        <v>13</v>
      </c>
      <c r="G22" s="95" t="n">
        <v>31.9</v>
      </c>
      <c r="H22" s="95" t="n">
        <v>49</v>
      </c>
      <c r="I22" s="95" t="n">
        <v>1.5</v>
      </c>
      <c r="J22" s="95" t="n">
        <v>6.5</v>
      </c>
      <c r="K22" s="95" t="n">
        <v>3</v>
      </c>
      <c r="L22" s="95" t="n">
        <v>3.5</v>
      </c>
    </row>
    <row r="23" customFormat="false" ht="15" hidden="false" customHeight="false" outlineLevel="0" collapsed="false">
      <c r="A23" s="5" t="s">
        <v>167</v>
      </c>
      <c r="B23" s="5" t="n">
        <v>22</v>
      </c>
      <c r="C23" s="5" t="s">
        <v>55</v>
      </c>
      <c r="D23" s="9" t="s">
        <v>56</v>
      </c>
      <c r="E23" s="95" t="n">
        <v>134.7</v>
      </c>
      <c r="F23" s="97" t="n">
        <v>15</v>
      </c>
      <c r="G23" s="95" t="n">
        <v>34.6</v>
      </c>
      <c r="H23" s="95" t="n">
        <v>46</v>
      </c>
      <c r="I23" s="95" t="n">
        <v>1</v>
      </c>
      <c r="J23" s="95" t="n">
        <v>5</v>
      </c>
      <c r="K23" s="95" t="n">
        <v>3.5</v>
      </c>
      <c r="L23" s="95" t="n">
        <v>1</v>
      </c>
    </row>
    <row r="24" customFormat="false" ht="15" hidden="false" customHeight="false" outlineLevel="0" collapsed="false">
      <c r="A24" s="5" t="s">
        <v>167</v>
      </c>
      <c r="B24" s="5" t="n">
        <v>23</v>
      </c>
      <c r="C24" s="5" t="s">
        <v>57</v>
      </c>
      <c r="D24" s="9" t="s">
        <v>58</v>
      </c>
      <c r="E24" s="95" t="n">
        <v>116.7</v>
      </c>
      <c r="F24" s="97" t="n">
        <v>22</v>
      </c>
      <c r="G24" s="95" t="n">
        <v>33.7</v>
      </c>
      <c r="H24" s="95" t="n">
        <v>43.5</v>
      </c>
      <c r="I24" s="95" t="n">
        <v>1</v>
      </c>
      <c r="J24" s="95" t="n">
        <v>4</v>
      </c>
      <c r="K24" s="95" t="n">
        <v>4</v>
      </c>
      <c r="L24" s="95" t="n">
        <v>5</v>
      </c>
    </row>
    <row r="25" customFormat="false" ht="15" hidden="false" customHeight="false" outlineLevel="0" collapsed="false">
      <c r="A25" s="5" t="s">
        <v>167</v>
      </c>
      <c r="B25" s="5" t="n">
        <v>24</v>
      </c>
      <c r="C25" s="5" t="s">
        <v>59</v>
      </c>
      <c r="D25" s="9" t="s">
        <v>60</v>
      </c>
      <c r="E25" s="95" t="n">
        <v>178.9</v>
      </c>
      <c r="F25" s="97" t="n">
        <v>1</v>
      </c>
      <c r="G25" s="95" t="n">
        <v>35.1</v>
      </c>
      <c r="H25" s="95" t="n">
        <v>46.5</v>
      </c>
      <c r="I25" s="95" t="n">
        <v>2</v>
      </c>
      <c r="J25" s="95" t="n">
        <v>5</v>
      </c>
      <c r="K25" s="95" t="n">
        <v>1.5</v>
      </c>
      <c r="L25" s="95" t="n">
        <v>3.5</v>
      </c>
    </row>
    <row r="26" customFormat="false" ht="15.75" hidden="false" customHeight="false" outlineLevel="0" collapsed="false">
      <c r="A26" s="98" t="s">
        <v>167</v>
      </c>
      <c r="B26" s="98" t="n">
        <v>25</v>
      </c>
      <c r="C26" s="98" t="s">
        <v>61</v>
      </c>
      <c r="D26" s="99" t="s">
        <v>62</v>
      </c>
      <c r="E26" s="102" t="n">
        <v>121.1</v>
      </c>
      <c r="F26" s="101" t="n">
        <v>21</v>
      </c>
      <c r="G26" s="102" t="n">
        <v>33.5</v>
      </c>
      <c r="H26" s="102" t="n">
        <v>40.5</v>
      </c>
      <c r="I26" s="102" t="n">
        <v>1.5</v>
      </c>
      <c r="J26" s="102" t="n">
        <v>7</v>
      </c>
      <c r="K26" s="102" t="n">
        <v>3</v>
      </c>
      <c r="L26" s="102" t="n">
        <v>7.5</v>
      </c>
    </row>
    <row r="27" customFormat="false" ht="15" hidden="false" customHeight="false" outlineLevel="0" collapsed="false">
      <c r="A27" s="46"/>
      <c r="B27" s="46"/>
      <c r="C27" s="5" t="s">
        <v>168</v>
      </c>
      <c r="D27" s="46"/>
      <c r="E27" s="95" t="n">
        <v>138.85842</v>
      </c>
      <c r="F27" s="46"/>
      <c r="G27" s="95" t="n">
        <v>33.71813</v>
      </c>
      <c r="H27" s="95" t="n">
        <v>43.74464</v>
      </c>
      <c r="I27" s="95" t="n">
        <v>1.52992</v>
      </c>
      <c r="J27" s="95" t="n">
        <v>4.60511</v>
      </c>
      <c r="K27" s="95" t="n">
        <v>3.55527</v>
      </c>
      <c r="L27" s="95" t="n">
        <v>3.12885</v>
      </c>
    </row>
    <row r="28" customFormat="false" ht="15" hidden="false" customHeight="false" outlineLevel="0" collapsed="false">
      <c r="A28" s="46"/>
      <c r="B28" s="46"/>
      <c r="C28" s="5" t="s">
        <v>126</v>
      </c>
      <c r="D28" s="46"/>
      <c r="E28" s="95" t="n">
        <v>6.40487</v>
      </c>
      <c r="F28" s="46"/>
      <c r="G28" s="95" t="n">
        <v>2.32362</v>
      </c>
      <c r="H28" s="95" t="n">
        <v>6.81665</v>
      </c>
      <c r="I28" s="95" t="n">
        <v>37.05729</v>
      </c>
      <c r="J28" s="95" t="n">
        <v>12.45552</v>
      </c>
      <c r="K28" s="95" t="n">
        <v>29.21724</v>
      </c>
      <c r="L28" s="95" t="n">
        <v>34.61732</v>
      </c>
    </row>
    <row r="29" customFormat="false" ht="15" hidden="false" customHeight="false" outlineLevel="0" collapsed="false">
      <c r="A29" s="46"/>
      <c r="B29" s="46"/>
      <c r="C29" s="5" t="s">
        <v>169</v>
      </c>
      <c r="D29" s="46"/>
      <c r="E29" s="95" t="n">
        <v>22.39122</v>
      </c>
      <c r="F29" s="46"/>
      <c r="G29" s="95" t="n">
        <v>1.97253</v>
      </c>
      <c r="H29" s="95" t="n">
        <v>7.50742</v>
      </c>
      <c r="I29" s="95" t="n">
        <v>1.42737</v>
      </c>
      <c r="J29" s="95" t="n">
        <v>1.4441</v>
      </c>
      <c r="K29" s="95" t="n">
        <v>2.61521</v>
      </c>
      <c r="L29" s="95" t="n">
        <v>2.72693</v>
      </c>
    </row>
    <row r="30" customFormat="false" ht="15" hidden="false" customHeight="false" outlineLevel="0" collapsed="false">
      <c r="A30" s="46"/>
      <c r="B30" s="46"/>
      <c r="C30" s="5" t="s">
        <v>170</v>
      </c>
      <c r="D30" s="46"/>
      <c r="E30" s="95" t="n">
        <v>178.9</v>
      </c>
      <c r="F30" s="46"/>
      <c r="G30" s="95" t="n">
        <v>37.2</v>
      </c>
      <c r="H30" s="95" t="n">
        <v>49</v>
      </c>
      <c r="I30" s="95" t="n">
        <v>7.24924</v>
      </c>
      <c r="J30" s="95" t="n">
        <v>7.5</v>
      </c>
      <c r="K30" s="95" t="n">
        <v>7.5</v>
      </c>
      <c r="L30" s="95" t="n">
        <v>7.5</v>
      </c>
    </row>
    <row r="31" customFormat="false" ht="15" hidden="false" customHeight="false" outlineLevel="0" collapsed="false">
      <c r="A31" s="46"/>
      <c r="B31" s="46"/>
      <c r="C31" s="5" t="s">
        <v>171</v>
      </c>
      <c r="D31" s="46"/>
      <c r="E31" s="95" t="n">
        <v>97.1</v>
      </c>
      <c r="F31" s="46"/>
      <c r="G31" s="95" t="n">
        <v>30.18469</v>
      </c>
      <c r="H31" s="95" t="n">
        <v>32.5</v>
      </c>
      <c r="I31" s="95" t="n">
        <v>0.5</v>
      </c>
      <c r="J31" s="95" t="n">
        <v>2.04287</v>
      </c>
      <c r="K31" s="95" t="n">
        <v>1.5</v>
      </c>
      <c r="L31" s="95" t="n">
        <v>0</v>
      </c>
    </row>
    <row r="32" customFormat="false" ht="15" hidden="false" customHeight="false" outlineLevel="0" collapsed="false">
      <c r="C32" s="104" t="s">
        <v>95</v>
      </c>
      <c r="D32" s="104"/>
      <c r="E32" s="104" t="n">
        <v>0.92048</v>
      </c>
      <c r="F32" s="104"/>
      <c r="G32" s="104" t="n">
        <v>0.90483</v>
      </c>
      <c r="H32" s="104" t="n">
        <v>0.80215</v>
      </c>
      <c r="I32" s="104" t="n">
        <v>0.8858</v>
      </c>
      <c r="J32" s="104" t="n">
        <v>0.93574</v>
      </c>
      <c r="K32" s="104" t="n">
        <v>0.78105</v>
      </c>
      <c r="L32" s="104" t="n">
        <v>0.89092</v>
      </c>
    </row>
    <row r="33" customFormat="false" ht="15" hidden="false" customHeight="false" outlineLevel="0" collapsed="false">
      <c r="C33" s="97" t="s">
        <v>172</v>
      </c>
      <c r="D33" s="97"/>
      <c r="E33" s="97" t="n">
        <v>2</v>
      </c>
      <c r="F33" s="97"/>
      <c r="G33" s="97" t="n">
        <v>2</v>
      </c>
      <c r="H33" s="97" t="n">
        <v>2</v>
      </c>
      <c r="I33" s="97" t="n">
        <v>2</v>
      </c>
      <c r="J33" s="97" t="n">
        <v>2</v>
      </c>
      <c r="K33" s="97" t="n">
        <v>2</v>
      </c>
      <c r="L33" s="97" t="n"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K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O26" activeCellId="0" sqref="O26"/>
    </sheetView>
  </sheetViews>
  <sheetFormatPr defaultColWidth="8.5390625" defaultRowHeight="15" zeroHeight="false" outlineLevelRow="0" outlineLevelCol="0"/>
  <cols>
    <col collapsed="false" customWidth="true" hidden="false" outlineLevel="0" max="2" min="2" style="0" width="19.28"/>
  </cols>
  <sheetData>
    <row r="1" customFormat="false" ht="51" hidden="false" customHeight="false" outlineLevel="0" collapsed="false">
      <c r="A1" s="109" t="s">
        <v>0</v>
      </c>
      <c r="B1" s="110" t="s">
        <v>175</v>
      </c>
      <c r="C1" s="111" t="s">
        <v>176</v>
      </c>
      <c r="D1" s="110" t="s">
        <v>177</v>
      </c>
      <c r="E1" s="110" t="s">
        <v>178</v>
      </c>
      <c r="F1" s="110" t="s">
        <v>179</v>
      </c>
      <c r="G1" s="110" t="s">
        <v>180</v>
      </c>
      <c r="H1" s="110" t="s">
        <v>181</v>
      </c>
      <c r="I1" s="110" t="s">
        <v>182</v>
      </c>
      <c r="J1" s="110" t="s">
        <v>183</v>
      </c>
      <c r="K1" s="112" t="s">
        <v>184</v>
      </c>
    </row>
    <row r="2" customFormat="false" ht="15" hidden="false" customHeight="false" outlineLevel="0" collapsed="false">
      <c r="A2" s="113" t="n">
        <v>17</v>
      </c>
      <c r="B2" s="114" t="s">
        <v>45</v>
      </c>
      <c r="C2" s="87" t="n">
        <v>102.83625</v>
      </c>
      <c r="D2" s="115" t="n">
        <v>82</v>
      </c>
      <c r="E2" s="87" t="n">
        <v>45.5</v>
      </c>
      <c r="F2" s="87" t="n">
        <v>7.5</v>
      </c>
      <c r="G2" s="87" t="n">
        <v>4</v>
      </c>
      <c r="H2" s="87" t="n">
        <v>5</v>
      </c>
      <c r="I2" s="87" t="n">
        <v>2.5</v>
      </c>
      <c r="J2" s="87" t="n">
        <v>0</v>
      </c>
      <c r="K2" s="116" t="n">
        <v>2</v>
      </c>
    </row>
    <row r="3" customFormat="false" ht="15" hidden="false" customHeight="false" outlineLevel="0" collapsed="false">
      <c r="A3" s="113" t="n">
        <v>24</v>
      </c>
      <c r="B3" s="114" t="s">
        <v>59</v>
      </c>
      <c r="C3" s="87" t="n">
        <v>98.8808416289593</v>
      </c>
      <c r="D3" s="115" t="n">
        <v>83.5</v>
      </c>
      <c r="E3" s="87" t="n">
        <v>45</v>
      </c>
      <c r="F3" s="87" t="n">
        <v>6</v>
      </c>
      <c r="G3" s="87" t="n">
        <v>5.5</v>
      </c>
      <c r="H3" s="87" t="n">
        <v>6.25</v>
      </c>
      <c r="I3" s="87" t="n">
        <v>1.5</v>
      </c>
      <c r="J3" s="87" t="n">
        <v>1.5</v>
      </c>
      <c r="K3" s="116" t="n">
        <v>2.5</v>
      </c>
    </row>
    <row r="4" customFormat="false" ht="15" hidden="false" customHeight="false" outlineLevel="0" collapsed="false">
      <c r="A4" s="113" t="n">
        <v>5</v>
      </c>
      <c r="B4" s="114" t="s">
        <v>21</v>
      </c>
      <c r="C4" s="87" t="n">
        <v>98.2057601809955</v>
      </c>
      <c r="D4" s="115" t="n">
        <v>81</v>
      </c>
      <c r="E4" s="87" t="n">
        <v>45</v>
      </c>
      <c r="F4" s="87" t="n">
        <v>5</v>
      </c>
      <c r="G4" s="87" t="n">
        <v>5.5</v>
      </c>
      <c r="H4" s="87" t="n">
        <v>7</v>
      </c>
      <c r="I4" s="87" t="n">
        <v>3.5</v>
      </c>
      <c r="J4" s="87" t="n">
        <v>0</v>
      </c>
      <c r="K4" s="116" t="n">
        <v>3</v>
      </c>
    </row>
    <row r="5" customFormat="false" ht="15" hidden="false" customHeight="false" outlineLevel="0" collapsed="false">
      <c r="A5" s="113" t="n">
        <v>23</v>
      </c>
      <c r="B5" s="114" t="s">
        <v>57</v>
      </c>
      <c r="C5" s="87" t="n">
        <v>98.1259778280543</v>
      </c>
      <c r="D5" s="115" t="n">
        <v>82.5</v>
      </c>
      <c r="E5" s="87" t="n">
        <v>43.5</v>
      </c>
      <c r="F5" s="87" t="n">
        <v>5</v>
      </c>
      <c r="G5" s="87" t="n">
        <v>4.5</v>
      </c>
      <c r="H5" s="87" t="n">
        <v>6</v>
      </c>
      <c r="I5" s="87" t="n">
        <v>2.5</v>
      </c>
      <c r="J5" s="87" t="n">
        <v>1</v>
      </c>
      <c r="K5" s="116" t="n">
        <v>4</v>
      </c>
    </row>
    <row r="6" customFormat="false" ht="15" hidden="false" customHeight="false" outlineLevel="0" collapsed="false">
      <c r="A6" s="113" t="n">
        <v>10</v>
      </c>
      <c r="B6" s="114" t="s">
        <v>31</v>
      </c>
      <c r="C6" s="87" t="n">
        <v>97.3106053167421</v>
      </c>
      <c r="D6" s="115" t="n">
        <v>83.5</v>
      </c>
      <c r="E6" s="87" t="n">
        <v>50</v>
      </c>
      <c r="F6" s="87" t="n">
        <v>7</v>
      </c>
      <c r="G6" s="87" t="n">
        <v>5</v>
      </c>
      <c r="H6" s="87" t="n">
        <v>5.25</v>
      </c>
      <c r="I6" s="87" t="n">
        <v>2</v>
      </c>
      <c r="J6" s="87" t="n">
        <v>0</v>
      </c>
      <c r="K6" s="116" t="n">
        <v>2</v>
      </c>
    </row>
    <row r="7" customFormat="false" ht="15" hidden="false" customHeight="false" outlineLevel="0" collapsed="false">
      <c r="A7" s="113" t="n">
        <v>2</v>
      </c>
      <c r="B7" s="114" t="s">
        <v>15</v>
      </c>
      <c r="C7" s="87" t="n">
        <v>94.8559540723982</v>
      </c>
      <c r="D7" s="115" t="n">
        <v>82</v>
      </c>
      <c r="E7" s="87" t="n">
        <v>45.5</v>
      </c>
      <c r="F7" s="87" t="n">
        <v>5</v>
      </c>
      <c r="G7" s="87" t="n">
        <v>6</v>
      </c>
      <c r="H7" s="87" t="n">
        <v>7</v>
      </c>
      <c r="I7" s="87" t="n">
        <v>2</v>
      </c>
      <c r="J7" s="87" t="n">
        <v>0</v>
      </c>
      <c r="K7" s="116" t="n">
        <v>2</v>
      </c>
    </row>
    <row r="8" customFormat="false" ht="15" hidden="false" customHeight="false" outlineLevel="0" collapsed="false">
      <c r="A8" s="113" t="n">
        <v>19</v>
      </c>
      <c r="B8" s="114" t="s">
        <v>49</v>
      </c>
      <c r="C8" s="87" t="n">
        <v>94.1074513574661</v>
      </c>
      <c r="D8" s="115" t="n">
        <v>82</v>
      </c>
      <c r="E8" s="87" t="n">
        <v>46.5</v>
      </c>
      <c r="F8" s="87" t="n">
        <v>6</v>
      </c>
      <c r="G8" s="87" t="n">
        <v>4.5</v>
      </c>
      <c r="H8" s="87" t="n">
        <v>5.25</v>
      </c>
      <c r="I8" s="87" t="n">
        <v>2</v>
      </c>
      <c r="J8" s="87" t="n">
        <v>0</v>
      </c>
      <c r="K8" s="116" t="n">
        <v>2</v>
      </c>
    </row>
    <row r="9" customFormat="false" ht="15" hidden="false" customHeight="false" outlineLevel="0" collapsed="false">
      <c r="A9" s="113" t="n">
        <v>20</v>
      </c>
      <c r="B9" s="114" t="s">
        <v>51</v>
      </c>
      <c r="C9" s="87" t="n">
        <v>93.0105447963801</v>
      </c>
      <c r="D9" s="115" t="n">
        <v>83</v>
      </c>
      <c r="E9" s="87" t="n">
        <v>46</v>
      </c>
      <c r="F9" s="87" t="n">
        <v>6.5</v>
      </c>
      <c r="G9" s="87" t="n">
        <v>4.5</v>
      </c>
      <c r="H9" s="87" t="n">
        <v>5.25</v>
      </c>
      <c r="I9" s="87" t="n">
        <v>2</v>
      </c>
      <c r="J9" s="87" t="n">
        <v>1</v>
      </c>
      <c r="K9" s="116" t="n">
        <v>3</v>
      </c>
    </row>
    <row r="10" customFormat="false" ht="15" hidden="false" customHeight="false" outlineLevel="0" collapsed="false">
      <c r="A10" s="113" t="n">
        <v>3</v>
      </c>
      <c r="B10" s="117" t="s">
        <v>17</v>
      </c>
      <c r="C10" s="87" t="n">
        <v>91.6679524886878</v>
      </c>
      <c r="D10" s="115" t="n">
        <v>83.5</v>
      </c>
      <c r="E10" s="87" t="n">
        <v>44.5</v>
      </c>
      <c r="F10" s="87" t="n">
        <v>6.5</v>
      </c>
      <c r="G10" s="87" t="n">
        <v>4.5</v>
      </c>
      <c r="H10" s="87" t="n">
        <v>5.75</v>
      </c>
      <c r="I10" s="87" t="n">
        <v>3</v>
      </c>
      <c r="J10" s="87" t="n">
        <v>0</v>
      </c>
      <c r="K10" s="116" t="n">
        <v>1.5</v>
      </c>
    </row>
    <row r="11" customFormat="false" ht="15" hidden="false" customHeight="false" outlineLevel="0" collapsed="false">
      <c r="A11" s="113" t="n">
        <v>6</v>
      </c>
      <c r="B11" s="114" t="s">
        <v>23</v>
      </c>
      <c r="C11" s="87" t="n">
        <v>89.9630134615385</v>
      </c>
      <c r="D11" s="115" t="n">
        <v>81.5</v>
      </c>
      <c r="E11" s="87" t="n">
        <v>45</v>
      </c>
      <c r="F11" s="87" t="n">
        <v>5</v>
      </c>
      <c r="G11" s="87" t="n">
        <v>5</v>
      </c>
      <c r="H11" s="87" t="n">
        <v>6.25</v>
      </c>
      <c r="I11" s="87" t="n">
        <v>3</v>
      </c>
      <c r="J11" s="87" t="n">
        <v>0</v>
      </c>
      <c r="K11" s="116" t="n">
        <v>3.5</v>
      </c>
    </row>
    <row r="12" customFormat="false" ht="15" hidden="false" customHeight="false" outlineLevel="0" collapsed="false">
      <c r="A12" s="113" t="n">
        <v>21</v>
      </c>
      <c r="B12" s="114" t="s">
        <v>53</v>
      </c>
      <c r="C12" s="87" t="n">
        <v>88.1312334841629</v>
      </c>
      <c r="D12" s="115" t="n">
        <v>84.5</v>
      </c>
      <c r="E12" s="87" t="n">
        <v>51.5</v>
      </c>
      <c r="F12" s="87" t="n">
        <v>6.5</v>
      </c>
      <c r="G12" s="87" t="n">
        <v>4.5</v>
      </c>
      <c r="H12" s="87" t="n">
        <v>5.25</v>
      </c>
      <c r="I12" s="87" t="n">
        <v>1.5</v>
      </c>
      <c r="J12" s="87" t="n">
        <v>0</v>
      </c>
      <c r="K12" s="116" t="n">
        <v>2</v>
      </c>
    </row>
    <row r="13" customFormat="false" ht="15" hidden="false" customHeight="false" outlineLevel="0" collapsed="false">
      <c r="A13" s="113" t="n">
        <v>11</v>
      </c>
      <c r="B13" s="114" t="s">
        <v>33</v>
      </c>
      <c r="C13" s="87" t="n">
        <v>87.7021513574661</v>
      </c>
      <c r="D13" s="115" t="n">
        <v>81.5</v>
      </c>
      <c r="E13" s="87" t="n">
        <v>45.5</v>
      </c>
      <c r="F13" s="87" t="n">
        <v>6</v>
      </c>
      <c r="G13" s="87" t="n">
        <v>6</v>
      </c>
      <c r="H13" s="87" t="n">
        <v>6.75</v>
      </c>
      <c r="I13" s="87" t="n">
        <v>2.5</v>
      </c>
      <c r="J13" s="87" t="n">
        <v>0</v>
      </c>
      <c r="K13" s="116" t="n">
        <v>2</v>
      </c>
    </row>
    <row r="14" customFormat="false" ht="15" hidden="false" customHeight="false" outlineLevel="0" collapsed="false">
      <c r="A14" s="113" t="n">
        <v>22</v>
      </c>
      <c r="B14" s="114" t="s">
        <v>55</v>
      </c>
      <c r="C14" s="87" t="n">
        <v>84.6642624434389</v>
      </c>
      <c r="D14" s="115" t="n">
        <v>81.5</v>
      </c>
      <c r="E14" s="87" t="n">
        <v>48</v>
      </c>
      <c r="F14" s="87" t="n">
        <v>6</v>
      </c>
      <c r="G14" s="87" t="n">
        <v>5</v>
      </c>
      <c r="H14" s="87" t="n">
        <v>5.25</v>
      </c>
      <c r="I14" s="87" t="n">
        <v>2</v>
      </c>
      <c r="J14" s="87" t="n">
        <v>0</v>
      </c>
      <c r="K14" s="116" t="n">
        <v>1.5</v>
      </c>
    </row>
    <row r="15" customFormat="false" ht="15" hidden="false" customHeight="false" outlineLevel="0" collapsed="false">
      <c r="A15" s="113" t="n">
        <v>18</v>
      </c>
      <c r="B15" s="114" t="s">
        <v>47</v>
      </c>
      <c r="C15" s="87" t="n">
        <v>83.4806300904977</v>
      </c>
      <c r="D15" s="115" t="n">
        <v>81</v>
      </c>
      <c r="E15" s="87" t="n">
        <v>46.5</v>
      </c>
      <c r="F15" s="87" t="n">
        <v>6</v>
      </c>
      <c r="G15" s="87" t="n">
        <v>5</v>
      </c>
      <c r="H15" s="87" t="n">
        <v>5.75</v>
      </c>
      <c r="I15" s="87" t="n">
        <v>4</v>
      </c>
      <c r="J15" s="87" t="n">
        <v>0</v>
      </c>
      <c r="K15" s="116" t="n">
        <v>3.5</v>
      </c>
    </row>
    <row r="16" customFormat="false" ht="15" hidden="false" customHeight="false" outlineLevel="0" collapsed="false">
      <c r="A16" s="113" t="n">
        <v>8</v>
      </c>
      <c r="B16" s="114" t="s">
        <v>27</v>
      </c>
      <c r="C16" s="87" t="n">
        <v>82.0235158371041</v>
      </c>
      <c r="D16" s="115" t="n">
        <v>83.5</v>
      </c>
      <c r="E16" s="87" t="n">
        <v>48.5</v>
      </c>
      <c r="F16" s="87" t="n">
        <v>6.5</v>
      </c>
      <c r="G16" s="87" t="n">
        <v>5.5</v>
      </c>
      <c r="H16" s="87" t="n">
        <v>5.75</v>
      </c>
      <c r="I16" s="87" t="n">
        <v>3</v>
      </c>
      <c r="J16" s="87" t="n">
        <v>0</v>
      </c>
      <c r="K16" s="116" t="n">
        <v>2.5</v>
      </c>
    </row>
    <row r="17" customFormat="false" ht="15" hidden="false" customHeight="false" outlineLevel="0" collapsed="false">
      <c r="A17" s="113" t="n">
        <v>7</v>
      </c>
      <c r="B17" s="114" t="s">
        <v>25</v>
      </c>
      <c r="C17" s="87" t="n">
        <v>81.9088259049774</v>
      </c>
      <c r="D17" s="115" t="n">
        <v>89</v>
      </c>
      <c r="E17" s="87" t="n">
        <v>51</v>
      </c>
      <c r="F17" s="87" t="n">
        <v>6.5</v>
      </c>
      <c r="G17" s="87" t="n">
        <v>5</v>
      </c>
      <c r="H17" s="87" t="n">
        <v>5.5</v>
      </c>
      <c r="I17" s="87" t="n">
        <v>0.5</v>
      </c>
      <c r="J17" s="87" t="n">
        <v>0</v>
      </c>
      <c r="K17" s="116" t="n">
        <v>1.5</v>
      </c>
    </row>
    <row r="18" customFormat="false" ht="15" hidden="false" customHeight="false" outlineLevel="0" collapsed="false">
      <c r="A18" s="113" t="n">
        <v>1</v>
      </c>
      <c r="B18" s="114" t="s">
        <v>13</v>
      </c>
      <c r="C18" s="87" t="n">
        <v>79.110407239819</v>
      </c>
      <c r="D18" s="115" t="n">
        <v>83</v>
      </c>
      <c r="E18" s="87" t="n">
        <v>49</v>
      </c>
      <c r="F18" s="87" t="n">
        <v>7</v>
      </c>
      <c r="G18" s="87" t="n">
        <v>4</v>
      </c>
      <c r="H18" s="87" t="n">
        <v>6</v>
      </c>
      <c r="I18" s="87" t="n">
        <v>5</v>
      </c>
      <c r="J18" s="87" t="n">
        <v>2</v>
      </c>
      <c r="K18" s="116" t="n">
        <v>1.5</v>
      </c>
    </row>
    <row r="19" customFormat="false" ht="15" hidden="false" customHeight="false" outlineLevel="0" collapsed="false">
      <c r="A19" s="113" t="n">
        <v>9</v>
      </c>
      <c r="B19" s="114" t="s">
        <v>29</v>
      </c>
      <c r="C19" s="87" t="n">
        <v>75.8599595022624</v>
      </c>
      <c r="D19" s="115" t="n">
        <v>83</v>
      </c>
      <c r="E19" s="87" t="n">
        <v>42.5</v>
      </c>
      <c r="F19" s="87" t="n">
        <v>7</v>
      </c>
      <c r="G19" s="87" t="n">
        <v>5</v>
      </c>
      <c r="H19" s="87" t="n">
        <v>5.5</v>
      </c>
      <c r="I19" s="87" t="n">
        <v>4</v>
      </c>
      <c r="J19" s="87" t="n">
        <v>1</v>
      </c>
      <c r="K19" s="116" t="n">
        <v>3.5</v>
      </c>
    </row>
    <row r="20" customFormat="false" ht="15" hidden="false" customHeight="false" outlineLevel="0" collapsed="false">
      <c r="A20" s="113" t="n">
        <v>25</v>
      </c>
      <c r="B20" s="114" t="s">
        <v>61</v>
      </c>
      <c r="C20" s="87" t="n">
        <v>74.7111787330317</v>
      </c>
      <c r="D20" s="115" t="n">
        <v>80</v>
      </c>
      <c r="E20" s="87" t="n">
        <v>44</v>
      </c>
      <c r="F20" s="87" t="n">
        <v>5.5</v>
      </c>
      <c r="G20" s="87" t="n">
        <v>4.5</v>
      </c>
      <c r="H20" s="87" t="n">
        <v>5.5</v>
      </c>
      <c r="I20" s="87" t="n">
        <v>1.5</v>
      </c>
      <c r="J20" s="87" t="n">
        <v>0</v>
      </c>
      <c r="K20" s="116" t="n">
        <v>1</v>
      </c>
    </row>
    <row r="21" customFormat="false" ht="15" hidden="false" customHeight="false" outlineLevel="0" collapsed="false">
      <c r="A21" s="113" t="n">
        <v>4</v>
      </c>
      <c r="B21" s="117" t="s">
        <v>19</v>
      </c>
      <c r="C21" s="87" t="n">
        <v>74.4378088235294</v>
      </c>
      <c r="D21" s="115" t="n">
        <v>84.5</v>
      </c>
      <c r="E21" s="87" t="n">
        <v>40</v>
      </c>
      <c r="F21" s="87" t="n">
        <v>7</v>
      </c>
      <c r="G21" s="87" t="n">
        <v>3.5</v>
      </c>
      <c r="H21" s="87" t="n">
        <v>5</v>
      </c>
      <c r="I21" s="87" t="n">
        <v>1.5</v>
      </c>
      <c r="J21" s="87" t="n">
        <v>0</v>
      </c>
      <c r="K21" s="116" t="n">
        <v>1.5</v>
      </c>
    </row>
    <row r="22" customFormat="false" ht="15" hidden="false" customHeight="false" outlineLevel="0" collapsed="false">
      <c r="A22" s="113" t="n">
        <v>16</v>
      </c>
      <c r="B22" s="114" t="s">
        <v>43</v>
      </c>
      <c r="C22" s="87" t="n">
        <v>60.2841685520362</v>
      </c>
      <c r="D22" s="115" t="n">
        <v>83.5</v>
      </c>
      <c r="E22" s="87" t="n">
        <v>42.5</v>
      </c>
      <c r="F22" s="87" t="n">
        <v>6</v>
      </c>
      <c r="G22" s="87" t="n">
        <v>4</v>
      </c>
      <c r="H22" s="87" t="n">
        <v>5</v>
      </c>
      <c r="I22" s="87" t="n">
        <v>3</v>
      </c>
      <c r="J22" s="87" t="n">
        <v>1</v>
      </c>
      <c r="K22" s="116" t="n">
        <v>1.5</v>
      </c>
    </row>
    <row r="23" customFormat="false" ht="15" hidden="false" customHeight="false" outlineLevel="0" collapsed="false">
      <c r="A23" s="113" t="n">
        <v>12</v>
      </c>
      <c r="B23" s="114" t="s">
        <v>35</v>
      </c>
      <c r="C23" s="87" t="n">
        <v>54.8966199095023</v>
      </c>
      <c r="D23" s="115" t="n">
        <v>85</v>
      </c>
      <c r="E23" s="87" t="n">
        <v>46.5</v>
      </c>
      <c r="F23" s="87" t="n">
        <v>7</v>
      </c>
      <c r="G23" s="87" t="n">
        <v>4</v>
      </c>
      <c r="H23" s="87" t="n">
        <v>5.5</v>
      </c>
      <c r="I23" s="87" t="n">
        <v>6</v>
      </c>
      <c r="J23" s="87" t="n">
        <v>2.5</v>
      </c>
      <c r="K23" s="116" t="n">
        <v>0.5</v>
      </c>
    </row>
    <row r="24" customFormat="false" ht="15" hidden="false" customHeight="false" outlineLevel="0" collapsed="false">
      <c r="A24" s="113" t="n">
        <v>15</v>
      </c>
      <c r="B24" s="114" t="s">
        <v>41</v>
      </c>
      <c r="C24" s="87" t="n">
        <v>54.8307692307692</v>
      </c>
      <c r="D24" s="115" t="n">
        <v>84</v>
      </c>
      <c r="E24" s="87" t="n">
        <v>43.5</v>
      </c>
      <c r="F24" s="87" t="n">
        <v>6.5</v>
      </c>
      <c r="G24" s="87" t="n">
        <v>5</v>
      </c>
      <c r="H24" s="87" t="n">
        <v>5.5</v>
      </c>
      <c r="I24" s="87" t="n">
        <v>6.5</v>
      </c>
      <c r="J24" s="87" t="n">
        <v>2.5</v>
      </c>
      <c r="K24" s="116" t="n">
        <v>0</v>
      </c>
    </row>
    <row r="25" customFormat="false" ht="15" hidden="false" customHeight="false" outlineLevel="0" collapsed="false">
      <c r="A25" s="113" t="n">
        <v>13</v>
      </c>
      <c r="B25" s="114" t="s">
        <v>37</v>
      </c>
      <c r="C25" s="87" t="n">
        <v>37.6109511312217</v>
      </c>
      <c r="D25" s="115" t="n">
        <v>82.5</v>
      </c>
      <c r="E25" s="87" t="n">
        <v>39</v>
      </c>
      <c r="F25" s="87" t="n">
        <v>6.5</v>
      </c>
      <c r="G25" s="87" t="n">
        <v>3.5</v>
      </c>
      <c r="H25" s="87" t="n">
        <v>5.25</v>
      </c>
      <c r="I25" s="87" t="n">
        <v>7.5</v>
      </c>
      <c r="J25" s="87" t="n">
        <v>4</v>
      </c>
      <c r="K25" s="116" t="n">
        <v>0</v>
      </c>
    </row>
    <row r="26" customFormat="false" ht="15" hidden="false" customHeight="false" outlineLevel="0" collapsed="false">
      <c r="A26" s="113" t="n">
        <v>14</v>
      </c>
      <c r="B26" s="114" t="s">
        <v>39</v>
      </c>
      <c r="C26" s="87" t="n">
        <v>27.0853472850679</v>
      </c>
      <c r="D26" s="115" t="n">
        <v>87</v>
      </c>
      <c r="E26" s="87" t="n">
        <v>42.5</v>
      </c>
      <c r="F26" s="87" t="n">
        <v>7.5</v>
      </c>
      <c r="G26" s="87" t="n">
        <v>4</v>
      </c>
      <c r="H26" s="87" t="n">
        <v>5</v>
      </c>
      <c r="I26" s="87" t="n">
        <v>7.5</v>
      </c>
      <c r="J26" s="87" t="n">
        <v>3.5</v>
      </c>
      <c r="K26" s="116" t="n">
        <v>0</v>
      </c>
    </row>
    <row r="27" customFormat="false" ht="15.75" hidden="false" customHeight="false" outlineLevel="0" collapsed="false">
      <c r="A27" s="118"/>
      <c r="K27" s="119"/>
    </row>
    <row r="28" customFormat="false" ht="15" hidden="false" customHeight="false" outlineLevel="0" collapsed="false">
      <c r="A28" s="120" t="s">
        <v>63</v>
      </c>
      <c r="B28" s="121"/>
      <c r="C28" s="122" t="n">
        <v>80.2280872262443</v>
      </c>
      <c r="D28" s="122" t="n">
        <v>83.12</v>
      </c>
      <c r="E28" s="122" t="n">
        <v>45.48</v>
      </c>
      <c r="F28" s="122" t="n">
        <v>6.28</v>
      </c>
      <c r="G28" s="122" t="n">
        <v>4.7</v>
      </c>
      <c r="H28" s="122" t="n">
        <v>5.66</v>
      </c>
      <c r="I28" s="122" t="n">
        <v>3.2</v>
      </c>
      <c r="J28" s="122" t="n">
        <v>0.82</v>
      </c>
      <c r="K28" s="123" t="n">
        <v>1.92</v>
      </c>
    </row>
    <row r="29" customFormat="false" ht="15" hidden="false" customHeight="false" outlineLevel="0" collapsed="false">
      <c r="A29" s="124" t="s">
        <v>126</v>
      </c>
      <c r="B29" s="125"/>
      <c r="C29" s="126" t="n">
        <v>16.2</v>
      </c>
      <c r="D29" s="126" t="n">
        <v>1.24</v>
      </c>
      <c r="E29" s="87" t="n">
        <v>7.8</v>
      </c>
      <c r="F29" s="126" t="n">
        <v>9</v>
      </c>
      <c r="G29" s="126" t="n">
        <v>9.8</v>
      </c>
      <c r="H29" s="126" t="n">
        <v>10.8</v>
      </c>
      <c r="I29" s="78" t="n">
        <v>14</v>
      </c>
      <c r="J29" s="78" t="n">
        <v>15</v>
      </c>
      <c r="K29" s="127" t="n">
        <v>17</v>
      </c>
    </row>
    <row r="30" customFormat="false" ht="15.75" hidden="false" customHeight="false" outlineLevel="0" collapsed="false">
      <c r="A30" s="128" t="s">
        <v>185</v>
      </c>
      <c r="B30" s="129"/>
      <c r="C30" s="130" t="n">
        <v>11.6</v>
      </c>
      <c r="D30" s="130" t="n">
        <v>2.39</v>
      </c>
      <c r="E30" s="131" t="n">
        <v>4.6</v>
      </c>
      <c r="F30" s="130" t="n">
        <v>1.12</v>
      </c>
      <c r="G30" s="130" t="n">
        <v>1.5</v>
      </c>
      <c r="H30" s="130" t="n">
        <v>1.669</v>
      </c>
      <c r="I30" s="132" t="n">
        <v>1.6</v>
      </c>
      <c r="J30" s="132" t="n">
        <v>0.9</v>
      </c>
      <c r="K30" s="133" t="n">
        <v>1.3</v>
      </c>
    </row>
    <row r="31" customFormat="false" ht="15" hidden="false" customHeight="false" outlineLevel="0" collapsed="false">
      <c r="A31" s="134"/>
      <c r="B31" s="135"/>
      <c r="C31" s="135"/>
      <c r="D31" s="135"/>
      <c r="E31" s="135"/>
      <c r="F31" s="135"/>
      <c r="G31" s="135"/>
      <c r="H31" s="135"/>
      <c r="I31" s="135"/>
      <c r="J31" s="135"/>
      <c r="K31" s="136"/>
    </row>
    <row r="32" customFormat="false" ht="15" hidden="false" customHeight="false" outlineLevel="0" collapsed="false">
      <c r="A32" s="118"/>
      <c r="B32" s="0" t="s">
        <v>186</v>
      </c>
      <c r="C32" s="0" t="s">
        <v>121</v>
      </c>
      <c r="K32" s="119"/>
    </row>
    <row r="33" customFormat="false" ht="15" hidden="false" customHeight="false" outlineLevel="0" collapsed="false">
      <c r="A33" s="118"/>
      <c r="B33" s="0" t="s">
        <v>179</v>
      </c>
      <c r="C33" s="0" t="s">
        <v>187</v>
      </c>
      <c r="K33" s="119"/>
    </row>
    <row r="34" customFormat="false" ht="15" hidden="false" customHeight="false" outlineLevel="0" collapsed="false">
      <c r="A34" s="118"/>
      <c r="B34" s="0" t="s">
        <v>188</v>
      </c>
      <c r="C34" s="0" t="s">
        <v>189</v>
      </c>
      <c r="K34" s="119"/>
    </row>
    <row r="35" customFormat="false" ht="15.75" hidden="false" customHeight="false" outlineLevel="0" collapsed="false">
      <c r="A35" s="137"/>
      <c r="B35" s="138" t="s">
        <v>190</v>
      </c>
      <c r="C35" s="138" t="s">
        <v>191</v>
      </c>
      <c r="D35" s="138"/>
      <c r="E35" s="138"/>
      <c r="F35" s="138"/>
      <c r="G35" s="138"/>
      <c r="H35" s="138"/>
      <c r="I35" s="138"/>
      <c r="J35" s="138"/>
      <c r="K35" s="139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4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1" activeCellId="0" sqref="B41"/>
    </sheetView>
  </sheetViews>
  <sheetFormatPr defaultColWidth="8.5390625" defaultRowHeight="15" zeroHeight="false" outlineLevelRow="0" outlineLevelCol="0"/>
  <sheetData>
    <row r="1" customFormat="false" ht="15.75" hidden="false" customHeight="false" outlineLevel="0" collapsed="false">
      <c r="A1" s="140" t="s">
        <v>192</v>
      </c>
      <c r="B1" s="141"/>
      <c r="C1" s="142"/>
      <c r="D1" s="143"/>
      <c r="E1" s="142"/>
      <c r="F1" s="142"/>
      <c r="G1" s="142"/>
      <c r="H1" s="142"/>
      <c r="I1" s="143"/>
      <c r="J1" s="142"/>
      <c r="K1" s="143"/>
      <c r="L1" s="142"/>
      <c r="M1" s="144"/>
      <c r="N1" s="145"/>
    </row>
    <row r="2" customFormat="false" ht="26.25" hidden="false" customHeight="false" outlineLevel="0" collapsed="false">
      <c r="A2" s="146"/>
      <c r="B2" s="147"/>
      <c r="C2" s="148" t="s">
        <v>75</v>
      </c>
      <c r="D2" s="147" t="s">
        <v>76</v>
      </c>
      <c r="E2" s="148" t="s">
        <v>77</v>
      </c>
      <c r="F2" s="148" t="s">
        <v>193</v>
      </c>
      <c r="G2" s="148" t="s">
        <v>110</v>
      </c>
      <c r="H2" s="148" t="s">
        <v>112</v>
      </c>
      <c r="I2" s="147" t="s">
        <v>113</v>
      </c>
      <c r="J2" s="148" t="s">
        <v>194</v>
      </c>
      <c r="K2" s="147" t="s">
        <v>116</v>
      </c>
      <c r="L2" s="148" t="s">
        <v>117</v>
      </c>
      <c r="M2" s="149" t="s">
        <v>195</v>
      </c>
      <c r="N2" s="150" t="s">
        <v>196</v>
      </c>
    </row>
    <row r="3" customFormat="false" ht="15" hidden="false" customHeight="false" outlineLevel="0" collapsed="false">
      <c r="A3" s="151" t="s">
        <v>0</v>
      </c>
      <c r="B3" s="152" t="s">
        <v>1</v>
      </c>
      <c r="C3" s="153" t="s">
        <v>119</v>
      </c>
      <c r="D3" s="152"/>
      <c r="E3" s="153" t="s">
        <v>120</v>
      </c>
      <c r="F3" s="153"/>
      <c r="G3" s="153" t="s">
        <v>121</v>
      </c>
      <c r="H3" s="153" t="s">
        <v>123</v>
      </c>
      <c r="I3" s="152" t="s">
        <v>123</v>
      </c>
      <c r="J3" s="153" t="s">
        <v>123</v>
      </c>
      <c r="K3" s="152" t="s">
        <v>124</v>
      </c>
      <c r="L3" s="153"/>
      <c r="M3" s="154" t="s">
        <v>123</v>
      </c>
      <c r="N3" s="155" t="s">
        <v>123</v>
      </c>
    </row>
    <row r="4" customFormat="false" ht="15" hidden="false" customHeight="false" outlineLevel="0" collapsed="false">
      <c r="A4" s="156" t="n">
        <v>1</v>
      </c>
      <c r="B4" s="157" t="s">
        <v>13</v>
      </c>
      <c r="C4" s="158" t="n">
        <v>93.0928551762115</v>
      </c>
      <c r="D4" s="159" t="n">
        <v>3</v>
      </c>
      <c r="E4" s="158" t="n">
        <v>32.9</v>
      </c>
      <c r="F4" s="158" t="n">
        <v>4</v>
      </c>
      <c r="G4" s="158" t="n">
        <v>91.5</v>
      </c>
      <c r="H4" s="158" t="n">
        <v>1</v>
      </c>
      <c r="I4" s="160"/>
      <c r="J4" s="158" t="n">
        <v>2.5</v>
      </c>
      <c r="K4" s="160"/>
      <c r="L4" s="158" t="n">
        <v>4.5</v>
      </c>
      <c r="M4" s="161" t="n">
        <v>4.875</v>
      </c>
      <c r="N4" s="162" t="n">
        <v>5.16666666666667</v>
      </c>
    </row>
    <row r="5" customFormat="false" ht="15" hidden="false" customHeight="false" outlineLevel="0" collapsed="false">
      <c r="A5" s="163" t="n">
        <v>2</v>
      </c>
      <c r="B5" s="164" t="s">
        <v>15</v>
      </c>
      <c r="C5" s="165" t="n">
        <v>74.921324339207</v>
      </c>
      <c r="D5" s="166" t="n">
        <v>14</v>
      </c>
      <c r="E5" s="165" t="n">
        <v>31.15</v>
      </c>
      <c r="F5" s="165" t="n">
        <v>6</v>
      </c>
      <c r="G5" s="165" t="n">
        <v>89.75</v>
      </c>
      <c r="H5" s="165" t="n">
        <v>7.5</v>
      </c>
      <c r="I5" s="167"/>
      <c r="J5" s="165" t="n">
        <v>2</v>
      </c>
      <c r="K5" s="167"/>
      <c r="L5" s="165" t="n">
        <v>4.5</v>
      </c>
      <c r="M5" s="168" t="n">
        <v>6.375</v>
      </c>
      <c r="N5" s="169" t="n">
        <v>4.54166666666667</v>
      </c>
    </row>
    <row r="6" customFormat="false" ht="15" hidden="false" customHeight="false" outlineLevel="0" collapsed="false">
      <c r="A6" s="163" t="n">
        <v>3</v>
      </c>
      <c r="B6" s="170" t="s">
        <v>17</v>
      </c>
      <c r="C6" s="165" t="n">
        <v>74.2055570851689</v>
      </c>
      <c r="D6" s="159" t="n">
        <v>15</v>
      </c>
      <c r="E6" s="165" t="n">
        <v>33.05</v>
      </c>
      <c r="F6" s="165" t="n">
        <v>5.25</v>
      </c>
      <c r="G6" s="165" t="n">
        <v>93.75</v>
      </c>
      <c r="H6" s="165" t="n">
        <v>9</v>
      </c>
      <c r="I6" s="167"/>
      <c r="J6" s="165" t="n">
        <v>1.5</v>
      </c>
      <c r="K6" s="167"/>
      <c r="L6" s="165" t="n">
        <v>3</v>
      </c>
      <c r="M6" s="168" t="n">
        <v>4.375</v>
      </c>
      <c r="N6" s="169" t="n">
        <v>5.625</v>
      </c>
    </row>
    <row r="7" customFormat="false" ht="15" hidden="false" customHeight="false" outlineLevel="0" collapsed="false">
      <c r="A7" s="163" t="n">
        <v>4</v>
      </c>
      <c r="B7" s="170" t="s">
        <v>19</v>
      </c>
      <c r="C7" s="165" t="n">
        <v>90.8844988986784</v>
      </c>
      <c r="D7" s="166" t="n">
        <v>6</v>
      </c>
      <c r="E7" s="165" t="n">
        <v>32.85</v>
      </c>
      <c r="F7" s="165" t="n">
        <v>5.125</v>
      </c>
      <c r="G7" s="165" t="n">
        <v>92</v>
      </c>
      <c r="H7" s="165" t="n">
        <v>3.5</v>
      </c>
      <c r="I7" s="167"/>
      <c r="J7" s="165" t="n">
        <v>0</v>
      </c>
      <c r="K7" s="167"/>
      <c r="L7" s="165" t="n">
        <v>3</v>
      </c>
      <c r="M7" s="168" t="n">
        <v>4.875</v>
      </c>
      <c r="N7" s="169" t="n">
        <v>5.66666666666667</v>
      </c>
    </row>
    <row r="8" customFormat="false" ht="15" hidden="false" customHeight="false" outlineLevel="0" collapsed="false">
      <c r="A8" s="163" t="n">
        <v>5</v>
      </c>
      <c r="B8" s="164" t="s">
        <v>21</v>
      </c>
      <c r="C8" s="165" t="n">
        <v>55.428046989721</v>
      </c>
      <c r="D8" s="159" t="n">
        <v>24</v>
      </c>
      <c r="E8" s="165" t="n">
        <v>28.05</v>
      </c>
      <c r="F8" s="165" t="n">
        <v>4.875</v>
      </c>
      <c r="G8" s="165" t="n">
        <v>91.5</v>
      </c>
      <c r="H8" s="165" t="n">
        <v>8</v>
      </c>
      <c r="I8" s="167"/>
      <c r="J8" s="165" t="n">
        <v>4</v>
      </c>
      <c r="K8" s="167"/>
      <c r="L8" s="165" t="n">
        <v>4.5</v>
      </c>
      <c r="M8" s="168" t="n">
        <v>5</v>
      </c>
      <c r="N8" s="169" t="n">
        <v>4.20833333333333</v>
      </c>
    </row>
    <row r="9" customFormat="false" ht="15" hidden="false" customHeight="false" outlineLevel="0" collapsed="false">
      <c r="A9" s="163" t="n">
        <v>6</v>
      </c>
      <c r="B9" s="164" t="s">
        <v>23</v>
      </c>
      <c r="C9" s="165" t="n">
        <v>43.9302955212922</v>
      </c>
      <c r="D9" s="166" t="n">
        <v>25</v>
      </c>
      <c r="E9" s="165" t="n">
        <v>33.35</v>
      </c>
      <c r="F9" s="165" t="n">
        <v>5.625</v>
      </c>
      <c r="G9" s="165" t="n">
        <v>89.5</v>
      </c>
      <c r="H9" s="165" t="n">
        <v>9</v>
      </c>
      <c r="I9" s="167"/>
      <c r="J9" s="165" t="n">
        <v>2</v>
      </c>
      <c r="K9" s="167"/>
      <c r="L9" s="165" t="n">
        <v>6</v>
      </c>
      <c r="M9" s="168" t="n">
        <v>5</v>
      </c>
      <c r="N9" s="169" t="n">
        <v>3.95833333333333</v>
      </c>
    </row>
    <row r="10" customFormat="false" ht="15" hidden="false" customHeight="false" outlineLevel="0" collapsed="false">
      <c r="A10" s="163" t="n">
        <v>7</v>
      </c>
      <c r="B10" s="164" t="s">
        <v>25</v>
      </c>
      <c r="C10" s="165" t="n">
        <v>94.2817318281938</v>
      </c>
      <c r="D10" s="159" t="n">
        <v>2</v>
      </c>
      <c r="E10" s="165" t="n">
        <v>34.1</v>
      </c>
      <c r="F10" s="165" t="n">
        <v>4.25</v>
      </c>
      <c r="G10" s="165" t="n">
        <v>99.3333333333333</v>
      </c>
      <c r="H10" s="165" t="n">
        <v>5.5</v>
      </c>
      <c r="I10" s="167"/>
      <c r="J10" s="165" t="n">
        <v>0</v>
      </c>
      <c r="K10" s="167"/>
      <c r="L10" s="165" t="n">
        <v>3</v>
      </c>
      <c r="M10" s="168" t="n">
        <v>4.25</v>
      </c>
      <c r="N10" s="169" t="n">
        <v>5.5</v>
      </c>
    </row>
    <row r="11" customFormat="false" ht="15" hidden="false" customHeight="false" outlineLevel="0" collapsed="false">
      <c r="A11" s="163" t="n">
        <v>8</v>
      </c>
      <c r="B11" s="164" t="s">
        <v>27</v>
      </c>
      <c r="C11" s="165" t="n">
        <v>66.4783177312775</v>
      </c>
      <c r="D11" s="166" t="n">
        <v>20</v>
      </c>
      <c r="E11" s="165" t="n">
        <v>31.4</v>
      </c>
      <c r="F11" s="165" t="n">
        <v>3.625</v>
      </c>
      <c r="G11" s="165" t="n">
        <v>93.5</v>
      </c>
      <c r="H11" s="165" t="n">
        <v>3.5</v>
      </c>
      <c r="I11" s="167"/>
      <c r="J11" s="165" t="n">
        <v>2</v>
      </c>
      <c r="K11" s="167"/>
      <c r="L11" s="165" t="n">
        <v>2.5</v>
      </c>
      <c r="M11" s="168" t="n">
        <v>4.125</v>
      </c>
      <c r="N11" s="169" t="n">
        <v>5</v>
      </c>
    </row>
    <row r="12" customFormat="false" ht="15" hidden="false" customHeight="false" outlineLevel="0" collapsed="false">
      <c r="A12" s="163" t="n">
        <v>9</v>
      </c>
      <c r="B12" s="164" t="s">
        <v>29</v>
      </c>
      <c r="C12" s="165" t="n">
        <v>73.6853661894273</v>
      </c>
      <c r="D12" s="159" t="n">
        <v>16</v>
      </c>
      <c r="E12" s="165" t="n">
        <v>32.45</v>
      </c>
      <c r="F12" s="165" t="n">
        <v>6.125</v>
      </c>
      <c r="G12" s="165" t="n">
        <v>96.25</v>
      </c>
      <c r="H12" s="165" t="n">
        <v>4.5</v>
      </c>
      <c r="I12" s="167"/>
      <c r="J12" s="165" t="n">
        <v>1</v>
      </c>
      <c r="K12" s="167"/>
      <c r="L12" s="165" t="n">
        <v>3</v>
      </c>
      <c r="M12" s="168" t="n">
        <v>5.25</v>
      </c>
      <c r="N12" s="169" t="n">
        <v>5.5</v>
      </c>
    </row>
    <row r="13" customFormat="false" ht="15" hidden="false" customHeight="false" outlineLevel="0" collapsed="false">
      <c r="A13" s="163" t="n">
        <v>10</v>
      </c>
      <c r="B13" s="164" t="s">
        <v>31</v>
      </c>
      <c r="C13" s="165" t="n">
        <v>68.6198834434655</v>
      </c>
      <c r="D13" s="166" t="n">
        <v>19</v>
      </c>
      <c r="E13" s="165" t="n">
        <v>32.55</v>
      </c>
      <c r="F13" s="165" t="n">
        <v>5.625</v>
      </c>
      <c r="G13" s="165" t="n">
        <v>96</v>
      </c>
      <c r="H13" s="165" t="n">
        <v>4.5</v>
      </c>
      <c r="I13" s="167"/>
      <c r="J13" s="165" t="n">
        <v>1</v>
      </c>
      <c r="K13" s="167"/>
      <c r="L13" s="165" t="n">
        <v>3</v>
      </c>
      <c r="M13" s="168" t="n">
        <v>5.375</v>
      </c>
      <c r="N13" s="169" t="n">
        <v>5.125</v>
      </c>
    </row>
    <row r="14" customFormat="false" ht="15" hidden="false" customHeight="false" outlineLevel="0" collapsed="false">
      <c r="A14" s="163" t="n">
        <v>11</v>
      </c>
      <c r="B14" s="164" t="s">
        <v>33</v>
      </c>
      <c r="C14" s="165" t="n">
        <v>90.1180708516887</v>
      </c>
      <c r="D14" s="159" t="n">
        <v>7</v>
      </c>
      <c r="E14" s="165" t="n">
        <v>30.25</v>
      </c>
      <c r="F14" s="165" t="n">
        <v>4.75</v>
      </c>
      <c r="G14" s="165" t="n">
        <v>91.75</v>
      </c>
      <c r="H14" s="165" t="n">
        <v>6</v>
      </c>
      <c r="I14" s="167"/>
      <c r="J14" s="165" t="n">
        <v>1</v>
      </c>
      <c r="K14" s="167"/>
      <c r="L14" s="165" t="n">
        <v>4.5</v>
      </c>
      <c r="M14" s="168" t="n">
        <v>4.875</v>
      </c>
      <c r="N14" s="169" t="n">
        <v>4.58333333333333</v>
      </c>
    </row>
    <row r="15" customFormat="false" ht="15" hidden="false" customHeight="false" outlineLevel="0" collapsed="false">
      <c r="A15" s="163" t="n">
        <v>12</v>
      </c>
      <c r="B15" s="164" t="s">
        <v>35</v>
      </c>
      <c r="C15" s="165" t="n">
        <v>58.5001835535977</v>
      </c>
      <c r="D15" s="166" t="n">
        <v>23</v>
      </c>
      <c r="E15" s="165" t="n">
        <v>32.7</v>
      </c>
      <c r="F15" s="165" t="n">
        <v>5</v>
      </c>
      <c r="G15" s="165" t="n">
        <v>96.25</v>
      </c>
      <c r="H15" s="165" t="n">
        <v>2.5</v>
      </c>
      <c r="I15" s="167"/>
      <c r="J15" s="165" t="n">
        <v>4</v>
      </c>
      <c r="K15" s="167"/>
      <c r="L15" s="165" t="n">
        <v>5</v>
      </c>
      <c r="M15" s="168" t="n">
        <v>4.25</v>
      </c>
      <c r="N15" s="169" t="n">
        <v>5</v>
      </c>
    </row>
    <row r="16" customFormat="false" ht="15" hidden="false" customHeight="false" outlineLevel="0" collapsed="false">
      <c r="A16" s="163" t="n">
        <v>13</v>
      </c>
      <c r="B16" s="164" t="s">
        <v>37</v>
      </c>
      <c r="C16" s="165" t="n">
        <v>94.3276661160059</v>
      </c>
      <c r="D16" s="159" t="n">
        <v>1</v>
      </c>
      <c r="E16" s="165" t="n">
        <v>31.55</v>
      </c>
      <c r="F16" s="165" t="n">
        <v>4.25</v>
      </c>
      <c r="G16" s="165" t="n">
        <v>90.5</v>
      </c>
      <c r="H16" s="165" t="n">
        <v>7.5</v>
      </c>
      <c r="I16" s="167"/>
      <c r="J16" s="165" t="n">
        <v>6.5</v>
      </c>
      <c r="K16" s="167"/>
      <c r="L16" s="165" t="n">
        <v>6</v>
      </c>
      <c r="M16" s="168" t="n">
        <v>5</v>
      </c>
      <c r="N16" s="169" t="n">
        <v>4.58333333333333</v>
      </c>
    </row>
    <row r="17" customFormat="false" ht="15" hidden="false" customHeight="false" outlineLevel="0" collapsed="false">
      <c r="A17" s="163" t="n">
        <v>14</v>
      </c>
      <c r="B17" s="164" t="s">
        <v>39</v>
      </c>
      <c r="C17" s="165" t="n">
        <v>70.6808232378855</v>
      </c>
      <c r="D17" s="166" t="n">
        <v>18</v>
      </c>
      <c r="E17" s="165" t="n">
        <v>32.35</v>
      </c>
      <c r="F17" s="165" t="n">
        <v>5.75</v>
      </c>
      <c r="G17" s="165" t="n">
        <v>94.5</v>
      </c>
      <c r="H17" s="165" t="n">
        <v>8.5</v>
      </c>
      <c r="I17" s="167"/>
      <c r="J17" s="165" t="n">
        <v>6</v>
      </c>
      <c r="K17" s="167"/>
      <c r="L17" s="165" t="n">
        <v>3.5</v>
      </c>
      <c r="M17" s="168" t="n">
        <v>5</v>
      </c>
      <c r="N17" s="169" t="n">
        <v>4.70833333333333</v>
      </c>
    </row>
    <row r="18" customFormat="false" ht="15" hidden="false" customHeight="false" outlineLevel="0" collapsed="false">
      <c r="A18" s="163" t="n">
        <v>15</v>
      </c>
      <c r="B18" s="164" t="s">
        <v>41</v>
      </c>
      <c r="C18" s="165" t="n">
        <v>84.8299146475771</v>
      </c>
      <c r="D18" s="159" t="n">
        <v>10</v>
      </c>
      <c r="E18" s="165" t="n">
        <v>30.35</v>
      </c>
      <c r="F18" s="165" t="n">
        <v>5.25</v>
      </c>
      <c r="G18" s="165" t="n">
        <v>93.5</v>
      </c>
      <c r="H18" s="165" t="n">
        <v>8</v>
      </c>
      <c r="I18" s="167"/>
      <c r="J18" s="165" t="n">
        <v>5</v>
      </c>
      <c r="K18" s="167"/>
      <c r="L18" s="165" t="n">
        <v>4</v>
      </c>
      <c r="M18" s="168" t="n">
        <v>4.375</v>
      </c>
      <c r="N18" s="169" t="n">
        <v>5.70833333333333</v>
      </c>
    </row>
    <row r="19" customFormat="false" ht="15" hidden="false" customHeight="false" outlineLevel="0" collapsed="false">
      <c r="A19" s="163" t="n">
        <v>16</v>
      </c>
      <c r="B19" s="164" t="s">
        <v>43</v>
      </c>
      <c r="C19" s="165" t="n">
        <v>78.0260416666667</v>
      </c>
      <c r="D19" s="166" t="n">
        <v>12</v>
      </c>
      <c r="E19" s="165" t="n">
        <v>33.7</v>
      </c>
      <c r="F19" s="165" t="n">
        <v>5.125</v>
      </c>
      <c r="G19" s="165" t="n">
        <v>89.25</v>
      </c>
      <c r="H19" s="165" t="n">
        <v>5</v>
      </c>
      <c r="I19" s="167"/>
      <c r="J19" s="165" t="n">
        <v>2</v>
      </c>
      <c r="K19" s="167"/>
      <c r="L19" s="165" t="n">
        <v>6.5</v>
      </c>
      <c r="M19" s="168" t="n">
        <v>5.375</v>
      </c>
      <c r="N19" s="169" t="n">
        <v>4.875</v>
      </c>
    </row>
    <row r="20" customFormat="false" ht="15" hidden="false" customHeight="false" outlineLevel="0" collapsed="false">
      <c r="A20" s="163" t="n">
        <v>17</v>
      </c>
      <c r="B20" s="164" t="s">
        <v>45</v>
      </c>
      <c r="C20" s="165" t="n">
        <v>73.3907626651982</v>
      </c>
      <c r="D20" s="159" t="n">
        <v>17</v>
      </c>
      <c r="E20" s="165" t="n">
        <v>33.25</v>
      </c>
      <c r="F20" s="165" t="n">
        <v>4.875</v>
      </c>
      <c r="G20" s="165" t="n">
        <v>95.75</v>
      </c>
      <c r="H20" s="165" t="n">
        <v>6.5</v>
      </c>
      <c r="I20" s="167"/>
      <c r="J20" s="165" t="n">
        <v>0.5</v>
      </c>
      <c r="K20" s="167"/>
      <c r="L20" s="165" t="n">
        <v>3.5</v>
      </c>
      <c r="M20" s="168" t="n">
        <v>4.75</v>
      </c>
      <c r="N20" s="169" t="n">
        <v>4.54166666666667</v>
      </c>
    </row>
    <row r="21" customFormat="false" ht="15" hidden="false" customHeight="false" outlineLevel="0" collapsed="false">
      <c r="A21" s="163" t="n">
        <v>18</v>
      </c>
      <c r="B21" s="164" t="s">
        <v>47</v>
      </c>
      <c r="C21" s="165" t="n">
        <v>89.2406387665198</v>
      </c>
      <c r="D21" s="166" t="n">
        <v>8</v>
      </c>
      <c r="E21" s="165" t="n">
        <v>29.95</v>
      </c>
      <c r="F21" s="165" t="n">
        <v>4.375</v>
      </c>
      <c r="G21" s="165" t="n">
        <v>89</v>
      </c>
      <c r="H21" s="165" t="n">
        <v>8</v>
      </c>
      <c r="I21" s="167"/>
      <c r="J21" s="165" t="n">
        <v>3</v>
      </c>
      <c r="K21" s="167"/>
      <c r="L21" s="165" t="n">
        <v>5.5</v>
      </c>
      <c r="M21" s="168" t="n">
        <v>4</v>
      </c>
      <c r="N21" s="169" t="n">
        <v>4.625</v>
      </c>
    </row>
    <row r="22" customFormat="false" ht="15" hidden="false" customHeight="false" outlineLevel="0" collapsed="false">
      <c r="A22" s="163" t="n">
        <v>19</v>
      </c>
      <c r="B22" s="164" t="s">
        <v>49</v>
      </c>
      <c r="C22" s="165" t="n">
        <v>83.7835444199706</v>
      </c>
      <c r="D22" s="159" t="n">
        <v>11</v>
      </c>
      <c r="E22" s="165" t="n">
        <v>30.7</v>
      </c>
      <c r="F22" s="165" t="n">
        <v>5.5</v>
      </c>
      <c r="G22" s="165" t="n">
        <v>91.25</v>
      </c>
      <c r="H22" s="165" t="n">
        <v>8</v>
      </c>
      <c r="I22" s="167"/>
      <c r="J22" s="165" t="n">
        <v>1.5</v>
      </c>
      <c r="K22" s="167"/>
      <c r="L22" s="165" t="n">
        <v>3.5</v>
      </c>
      <c r="M22" s="168" t="n">
        <v>5.5</v>
      </c>
      <c r="N22" s="169" t="n">
        <v>4.70833333333333</v>
      </c>
    </row>
    <row r="23" customFormat="false" ht="15" hidden="false" customHeight="false" outlineLevel="0" collapsed="false">
      <c r="A23" s="163" t="n">
        <v>20</v>
      </c>
      <c r="B23" s="164" t="s">
        <v>51</v>
      </c>
      <c r="C23" s="165" t="n">
        <v>85.199063876652</v>
      </c>
      <c r="D23" s="166" t="n">
        <v>9</v>
      </c>
      <c r="E23" s="165" t="n">
        <v>30.9</v>
      </c>
      <c r="F23" s="165" t="n">
        <v>5.5</v>
      </c>
      <c r="G23" s="165" t="n">
        <v>91</v>
      </c>
      <c r="H23" s="165" t="n">
        <v>7</v>
      </c>
      <c r="I23" s="167"/>
      <c r="J23" s="165" t="n">
        <v>1</v>
      </c>
      <c r="K23" s="167"/>
      <c r="L23" s="165" t="n">
        <v>2.5</v>
      </c>
      <c r="M23" s="168" t="n">
        <v>5.375</v>
      </c>
      <c r="N23" s="169" t="n">
        <v>5.08333333333333</v>
      </c>
    </row>
    <row r="24" customFormat="false" ht="15" hidden="false" customHeight="false" outlineLevel="0" collapsed="false">
      <c r="A24" s="163" t="n">
        <v>21</v>
      </c>
      <c r="B24" s="164" t="s">
        <v>53</v>
      </c>
      <c r="C24" s="165" t="n">
        <v>75.7575486417034</v>
      </c>
      <c r="D24" s="159" t="n">
        <v>13</v>
      </c>
      <c r="E24" s="165" t="n">
        <v>31.6</v>
      </c>
      <c r="F24" s="165" t="n">
        <v>4.375</v>
      </c>
      <c r="G24" s="165" t="n">
        <v>95.25</v>
      </c>
      <c r="H24" s="165" t="n">
        <v>4</v>
      </c>
      <c r="I24" s="167"/>
      <c r="J24" s="165" t="n">
        <v>1</v>
      </c>
      <c r="K24" s="167"/>
      <c r="L24" s="165" t="n">
        <v>2.5</v>
      </c>
      <c r="M24" s="168" t="n">
        <v>4.875</v>
      </c>
      <c r="N24" s="169" t="n">
        <v>4.91666666666667</v>
      </c>
    </row>
    <row r="25" customFormat="false" ht="15" hidden="false" customHeight="false" outlineLevel="0" collapsed="false">
      <c r="A25" s="163" t="n">
        <v>22</v>
      </c>
      <c r="B25" s="164" t="s">
        <v>55</v>
      </c>
      <c r="C25" s="165" t="n">
        <v>91.9402533039648</v>
      </c>
      <c r="D25" s="166" t="n">
        <v>5</v>
      </c>
      <c r="E25" s="165" t="n">
        <v>33.15</v>
      </c>
      <c r="F25" s="165" t="n">
        <v>5.125</v>
      </c>
      <c r="G25" s="165" t="n">
        <v>89.75</v>
      </c>
      <c r="H25" s="165" t="n">
        <v>7.5</v>
      </c>
      <c r="I25" s="167"/>
      <c r="J25" s="165" t="n">
        <v>3.5</v>
      </c>
      <c r="K25" s="167"/>
      <c r="L25" s="165" t="n">
        <v>5</v>
      </c>
      <c r="M25" s="168" t="n">
        <v>4.875</v>
      </c>
      <c r="N25" s="169" t="n">
        <v>5.04166666666667</v>
      </c>
    </row>
    <row r="26" customFormat="false" ht="15" hidden="false" customHeight="false" outlineLevel="0" collapsed="false">
      <c r="A26" s="163" t="n">
        <v>23</v>
      </c>
      <c r="B26" s="164" t="s">
        <v>57</v>
      </c>
      <c r="C26" s="165" t="n">
        <v>92.5632571585903</v>
      </c>
      <c r="D26" s="159" t="n">
        <v>4</v>
      </c>
      <c r="E26" s="165" t="n">
        <v>29.85</v>
      </c>
      <c r="F26" s="165" t="n">
        <v>3.875</v>
      </c>
      <c r="G26" s="165" t="n">
        <v>89.75</v>
      </c>
      <c r="H26" s="165" t="n">
        <v>2</v>
      </c>
      <c r="I26" s="167"/>
      <c r="J26" s="165" t="n">
        <v>2.5</v>
      </c>
      <c r="K26" s="167"/>
      <c r="L26" s="165" t="n">
        <v>3.5</v>
      </c>
      <c r="M26" s="168" t="n">
        <v>4.5</v>
      </c>
      <c r="N26" s="169" t="n">
        <v>4.875</v>
      </c>
    </row>
    <row r="27" customFormat="false" ht="15" hidden="false" customHeight="false" outlineLevel="0" collapsed="false">
      <c r="A27" s="163" t="n">
        <v>24</v>
      </c>
      <c r="B27" s="164" t="s">
        <v>59</v>
      </c>
      <c r="C27" s="165" t="n">
        <v>65.5669052863436</v>
      </c>
      <c r="D27" s="166" t="n">
        <v>21</v>
      </c>
      <c r="E27" s="165" t="n">
        <v>33.65</v>
      </c>
      <c r="F27" s="165" t="n">
        <v>6.25</v>
      </c>
      <c r="G27" s="165" t="n">
        <v>93</v>
      </c>
      <c r="H27" s="165" t="n">
        <v>8</v>
      </c>
      <c r="I27" s="167"/>
      <c r="J27" s="165" t="n">
        <v>2</v>
      </c>
      <c r="K27" s="167"/>
      <c r="L27" s="165" t="n">
        <v>4</v>
      </c>
      <c r="M27" s="168" t="n">
        <v>4.625</v>
      </c>
      <c r="N27" s="169" t="n">
        <v>4.75</v>
      </c>
    </row>
    <row r="28" customFormat="false" ht="15" hidden="false" customHeight="false" outlineLevel="0" collapsed="false">
      <c r="A28" s="163" t="n">
        <v>25</v>
      </c>
      <c r="B28" s="164" t="s">
        <v>61</v>
      </c>
      <c r="C28" s="165" t="n">
        <v>63.8879864170338</v>
      </c>
      <c r="D28" s="159" t="n">
        <v>22</v>
      </c>
      <c r="E28" s="165" t="n">
        <v>31.5</v>
      </c>
      <c r="F28" s="165" t="n">
        <v>3.375</v>
      </c>
      <c r="G28" s="165" t="n">
        <v>89.25</v>
      </c>
      <c r="H28" s="165" t="n">
        <v>7.5</v>
      </c>
      <c r="I28" s="167"/>
      <c r="J28" s="165" t="n">
        <v>3.5</v>
      </c>
      <c r="K28" s="167"/>
      <c r="L28" s="165" t="n">
        <v>5</v>
      </c>
      <c r="M28" s="168" t="n">
        <v>4.25</v>
      </c>
      <c r="N28" s="169" t="n">
        <v>4.20833333333333</v>
      </c>
    </row>
    <row r="29" customFormat="false" ht="15" hidden="false" customHeight="false" outlineLevel="0" collapsed="false">
      <c r="A29" s="171"/>
      <c r="B29" s="172" t="s">
        <v>63</v>
      </c>
      <c r="C29" s="173" t="n">
        <v>77.2</v>
      </c>
      <c r="D29" s="173"/>
      <c r="E29" s="173" t="n">
        <v>31.92</v>
      </c>
      <c r="F29" s="173" t="n">
        <v>4.955</v>
      </c>
      <c r="G29" s="173" t="n">
        <v>92.44</v>
      </c>
      <c r="H29" s="173" t="n">
        <v>6.08</v>
      </c>
      <c r="I29" s="173"/>
      <c r="J29" s="173" t="n">
        <v>2.36</v>
      </c>
      <c r="K29" s="173"/>
      <c r="L29" s="173" t="n">
        <v>4.06</v>
      </c>
      <c r="M29" s="174" t="n">
        <v>4.845</v>
      </c>
      <c r="N29" s="175" t="n">
        <v>4.9</v>
      </c>
    </row>
    <row r="30" customFormat="false" ht="15" hidden="false" customHeight="false" outlineLevel="0" collapsed="false">
      <c r="A30" s="171"/>
      <c r="B30" s="172" t="s">
        <v>64</v>
      </c>
      <c r="C30" s="173" t="n">
        <v>16.99</v>
      </c>
      <c r="D30" s="173"/>
      <c r="E30" s="173" t="n">
        <v>1.51</v>
      </c>
      <c r="F30" s="173" t="n">
        <v>10.11</v>
      </c>
      <c r="G30" s="173" t="n">
        <v>2.21</v>
      </c>
      <c r="H30" s="173" t="n">
        <v>28.23</v>
      </c>
      <c r="I30" s="173"/>
      <c r="J30" s="173" t="n">
        <v>27.24</v>
      </c>
      <c r="K30" s="173"/>
      <c r="L30" s="173" t="n">
        <v>14.5</v>
      </c>
      <c r="M30" s="174" t="n">
        <v>12.39</v>
      </c>
      <c r="N30" s="175" t="n">
        <v>13.93</v>
      </c>
    </row>
    <row r="31" customFormat="false" ht="15" hidden="false" customHeight="false" outlineLevel="0" collapsed="false">
      <c r="A31" s="171"/>
      <c r="B31" s="172" t="s">
        <v>197</v>
      </c>
      <c r="C31" s="173" t="n">
        <v>22.93</v>
      </c>
      <c r="D31" s="173"/>
      <c r="E31" s="173" t="n">
        <v>0.84</v>
      </c>
      <c r="F31" s="173" t="n">
        <v>0.5899</v>
      </c>
      <c r="G31" s="173" t="n">
        <v>2.42</v>
      </c>
      <c r="H31" s="173" t="n">
        <v>2.937</v>
      </c>
      <c r="I31" s="173"/>
      <c r="J31" s="173" t="n">
        <v>1.099</v>
      </c>
      <c r="K31" s="173"/>
      <c r="L31" s="173" t="n">
        <v>1.01</v>
      </c>
      <c r="M31" s="174" t="n">
        <v>0.71</v>
      </c>
      <c r="N31" s="175" t="n">
        <v>0.804</v>
      </c>
    </row>
    <row r="32" customFormat="false" ht="15" hidden="false" customHeight="false" outlineLevel="0" collapsed="false">
      <c r="A32" s="176"/>
      <c r="B32" s="172" t="s">
        <v>93</v>
      </c>
      <c r="C32" s="173" t="n">
        <v>94.3</v>
      </c>
      <c r="D32" s="173"/>
      <c r="E32" s="173" t="n">
        <v>34.1</v>
      </c>
      <c r="F32" s="173"/>
      <c r="G32" s="173"/>
      <c r="H32" s="173"/>
      <c r="I32" s="173"/>
      <c r="J32" s="173" t="n">
        <v>6.5</v>
      </c>
      <c r="K32" s="173"/>
      <c r="L32" s="173"/>
      <c r="M32" s="174"/>
      <c r="N32" s="175"/>
    </row>
    <row r="33" customFormat="false" ht="15" hidden="false" customHeight="false" outlineLevel="0" collapsed="false">
      <c r="A33" s="171"/>
      <c r="B33" s="172" t="s">
        <v>94</v>
      </c>
      <c r="C33" s="173" t="n">
        <v>43.9</v>
      </c>
      <c r="D33" s="173"/>
      <c r="E33" s="173" t="n">
        <v>28.1</v>
      </c>
      <c r="F33" s="173"/>
      <c r="G33" s="173"/>
      <c r="H33" s="173"/>
      <c r="I33" s="173"/>
      <c r="J33" s="173" t="n">
        <v>0</v>
      </c>
      <c r="K33" s="173"/>
      <c r="L33" s="173"/>
      <c r="M33" s="174"/>
      <c r="N33" s="175"/>
    </row>
    <row r="34" customFormat="false" ht="15" hidden="false" customHeight="false" outlineLevel="0" collapsed="false">
      <c r="A34" s="177"/>
      <c r="B34" s="178" t="s">
        <v>95</v>
      </c>
      <c r="C34" s="179" t="n">
        <v>0.696</v>
      </c>
      <c r="D34" s="179"/>
      <c r="E34" s="179" t="n">
        <v>0.951</v>
      </c>
      <c r="F34" s="179" t="n">
        <v>0.759</v>
      </c>
      <c r="G34" s="179" t="n">
        <v>0.699</v>
      </c>
      <c r="H34" s="179" t="n">
        <v>0.787</v>
      </c>
      <c r="I34" s="179"/>
      <c r="J34" s="179" t="n">
        <v>0.935</v>
      </c>
      <c r="K34" s="179"/>
      <c r="L34" s="179" t="n">
        <v>0.888</v>
      </c>
      <c r="M34" s="180" t="n">
        <v>0.504</v>
      </c>
      <c r="N34" s="181" t="n">
        <v>0.394</v>
      </c>
    </row>
    <row r="35" customFormat="false" ht="15.75" hidden="false" customHeight="false" outlineLevel="0" collapsed="false">
      <c r="A35" s="67" t="s">
        <v>97</v>
      </c>
      <c r="B35" s="66" t="s">
        <v>198</v>
      </c>
      <c r="C35" s="182"/>
      <c r="D35" s="183"/>
      <c r="E35" s="182"/>
      <c r="F35" s="182"/>
      <c r="G35" s="182"/>
      <c r="H35" s="182"/>
      <c r="I35" s="183"/>
      <c r="J35" s="182"/>
      <c r="K35" s="183"/>
      <c r="L35" s="182"/>
      <c r="M35" s="182"/>
      <c r="N35" s="182"/>
    </row>
    <row r="36" customFormat="false" ht="15.75" hidden="false" customHeight="false" outlineLevel="0" collapsed="false">
      <c r="A36" s="67" t="s">
        <v>101</v>
      </c>
      <c r="B36" s="66" t="s">
        <v>199</v>
      </c>
      <c r="C36" s="182"/>
      <c r="D36" s="183"/>
      <c r="E36" s="182"/>
      <c r="F36" s="182"/>
      <c r="G36" s="182"/>
      <c r="H36" s="182"/>
      <c r="I36" s="183"/>
      <c r="J36" s="182"/>
      <c r="K36" s="183"/>
      <c r="L36" s="182"/>
      <c r="M36" s="182"/>
      <c r="N36" s="182"/>
    </row>
    <row r="37" customFormat="false" ht="15.75" hidden="false" customHeight="false" outlineLevel="0" collapsed="false">
      <c r="A37" s="67" t="s">
        <v>200</v>
      </c>
      <c r="B37" s="67" t="n">
        <v>2</v>
      </c>
      <c r="C37" s="182"/>
      <c r="D37" s="183"/>
      <c r="E37" s="182"/>
      <c r="F37" s="182"/>
      <c r="G37" s="182"/>
      <c r="H37" s="182"/>
      <c r="I37" s="183"/>
      <c r="J37" s="182"/>
      <c r="K37" s="183"/>
      <c r="L37" s="182"/>
      <c r="M37" s="182"/>
      <c r="N37" s="182"/>
    </row>
    <row r="38" customFormat="false" ht="15.75" hidden="false" customHeight="false" outlineLevel="0" collapsed="false">
      <c r="A38" s="67" t="s">
        <v>201</v>
      </c>
      <c r="B38" s="66" t="s">
        <v>202</v>
      </c>
      <c r="C38" s="182"/>
      <c r="D38" s="183"/>
      <c r="E38" s="182"/>
      <c r="F38" s="182"/>
      <c r="G38" s="182"/>
      <c r="H38" s="182"/>
      <c r="I38" s="183"/>
      <c r="J38" s="182"/>
      <c r="K38" s="183"/>
      <c r="L38" s="182"/>
      <c r="M38" s="182"/>
      <c r="N38" s="182"/>
    </row>
    <row r="39" customFormat="false" ht="15.75" hidden="false" customHeight="false" outlineLevel="0" collapsed="false">
      <c r="A39" s="67" t="s">
        <v>203</v>
      </c>
      <c r="B39" s="66"/>
      <c r="C39" s="182"/>
      <c r="D39" s="183"/>
      <c r="E39" s="182"/>
      <c r="F39" s="182"/>
      <c r="G39" s="182"/>
      <c r="H39" s="182"/>
      <c r="I39" s="183"/>
      <c r="J39" s="182"/>
      <c r="K39" s="183"/>
      <c r="L39" s="182"/>
      <c r="M39" s="182"/>
      <c r="N39" s="182"/>
    </row>
    <row r="40" customFormat="false" ht="15.75" hidden="false" customHeight="false" outlineLevel="0" collapsed="false">
      <c r="A40" s="67" t="s">
        <v>105</v>
      </c>
      <c r="B40" s="66" t="s">
        <v>137</v>
      </c>
      <c r="C40" s="182"/>
      <c r="D40" s="183"/>
      <c r="E40" s="182"/>
      <c r="F40" s="182"/>
      <c r="G40" s="182"/>
      <c r="H40" s="182"/>
      <c r="I40" s="183"/>
      <c r="J40" s="182"/>
      <c r="K40" s="183"/>
      <c r="L40" s="182"/>
      <c r="M40" s="182"/>
      <c r="N40" s="182"/>
    </row>
    <row r="41" customFormat="false" ht="15" hidden="false" customHeight="false" outlineLevel="0" collapsed="false">
      <c r="A41" s="50"/>
      <c r="B41" s="50" t="s">
        <v>204</v>
      </c>
      <c r="C41" s="40"/>
      <c r="D41" s="1"/>
      <c r="E41" s="40"/>
      <c r="F41" s="40"/>
      <c r="G41" s="40"/>
      <c r="H41" s="40"/>
      <c r="I41" s="1"/>
      <c r="J41" s="40"/>
      <c r="K41" s="1"/>
      <c r="L41" s="40"/>
      <c r="M41" s="40"/>
      <c r="N41" s="40"/>
    </row>
    <row r="42" customFormat="false" ht="15" hidden="false" customHeight="false" outlineLevel="0" collapsed="false">
      <c r="A42" s="50"/>
      <c r="B42" s="50" t="s">
        <v>205</v>
      </c>
      <c r="C42" s="40"/>
      <c r="D42" s="1"/>
      <c r="E42" s="40"/>
      <c r="F42" s="40"/>
      <c r="G42" s="40"/>
      <c r="H42" s="40"/>
      <c r="I42" s="1"/>
      <c r="J42" s="40"/>
      <c r="K42" s="1"/>
      <c r="L42" s="40"/>
      <c r="M42" s="40"/>
      <c r="N42" s="40"/>
    </row>
    <row r="43" customFormat="false" ht="15" hidden="false" customHeight="false" outlineLevel="0" collapsed="false">
      <c r="A43" s="50"/>
      <c r="B43" s="50" t="s">
        <v>206</v>
      </c>
      <c r="C43" s="40"/>
      <c r="D43" s="1"/>
      <c r="E43" s="40"/>
      <c r="F43" s="40"/>
      <c r="G43" s="40"/>
      <c r="H43" s="40"/>
      <c r="I43" s="1"/>
      <c r="J43" s="40"/>
      <c r="K43" s="1"/>
      <c r="L43" s="40"/>
      <c r="M43" s="40"/>
      <c r="N43" s="40"/>
    </row>
    <row r="44" customFormat="false" ht="15" hidden="false" customHeight="false" outlineLevel="0" collapsed="false">
      <c r="A44" s="50"/>
      <c r="B44" s="50" t="s">
        <v>207</v>
      </c>
      <c r="C44" s="40"/>
      <c r="D44" s="1"/>
      <c r="E44" s="40"/>
      <c r="F44" s="40"/>
      <c r="G44" s="40"/>
      <c r="H44" s="40"/>
      <c r="I44" s="1"/>
      <c r="J44" s="40"/>
      <c r="K44" s="1"/>
      <c r="L44" s="40"/>
      <c r="M44" s="40"/>
      <c r="N44" s="40"/>
    </row>
    <row r="45" customFormat="false" ht="15" hidden="false" customHeight="false" outlineLevel="0" collapsed="false">
      <c r="A45" s="50"/>
      <c r="B45" s="50" t="s">
        <v>208</v>
      </c>
      <c r="C45" s="40"/>
      <c r="D45" s="1"/>
      <c r="E45" s="40"/>
      <c r="F45" s="40"/>
      <c r="G45" s="40"/>
      <c r="H45" s="40"/>
      <c r="I45" s="1"/>
      <c r="J45" s="40"/>
      <c r="K45" s="1"/>
      <c r="L45" s="40"/>
      <c r="M45" s="40"/>
      <c r="N45" s="40"/>
    </row>
    <row r="46" customFormat="false" ht="15" hidden="false" customHeight="false" outlineLevel="0" collapsed="false">
      <c r="A46" s="50"/>
      <c r="B46" s="50" t="s">
        <v>209</v>
      </c>
      <c r="C46" s="40"/>
      <c r="D46" s="1"/>
      <c r="E46" s="40"/>
      <c r="F46" s="40"/>
      <c r="G46" s="40"/>
      <c r="H46" s="40"/>
      <c r="I46" s="1"/>
      <c r="J46" s="40"/>
      <c r="K46" s="1"/>
      <c r="L46" s="40"/>
      <c r="M46" s="40"/>
      <c r="N46" s="40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1182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2015-06-05T18:17:20Z</dcterms:created>
  <dc:creator>Noah DeWitt</dc:creator>
  <dc:description/>
  <dc:language>en-US</dc:language>
  <cp:lastModifiedBy>David Waring</cp:lastModifiedBy>
  <dcterms:modified xsi:type="dcterms:W3CDTF">2023-09-26T11:43:04Z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