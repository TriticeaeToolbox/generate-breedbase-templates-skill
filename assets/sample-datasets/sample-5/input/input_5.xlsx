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jw64/Desktop/UOPN-Davis/"/>
    </mc:Choice>
  </mc:AlternateContent>
  <xr:revisionPtr revIDLastSave="0" documentId="13_ncr:1_{2745AB44-2DD4-504A-8599-30F46BACA355}" xr6:coauthVersionLast="47" xr6:coauthVersionMax="47" xr10:uidLastSave="{00000000-0000-0000-0000-000000000000}"/>
  <bookViews>
    <workbookView xWindow="4200" yWindow="3140" windowWidth="42200" windowHeight="21080" xr2:uid="{D9E9E802-8CFE-4294-9970-E755C9E4C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1" l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5" i="1"/>
  <c r="AB5" i="1"/>
  <c r="AC5" i="1"/>
  <c r="AB6" i="1"/>
  <c r="AC6" i="1"/>
  <c r="AB7" i="1"/>
  <c r="AC7" i="1"/>
  <c r="AB8" i="1"/>
  <c r="AC8" i="1"/>
  <c r="AB9" i="1"/>
  <c r="AC9" i="1"/>
  <c r="AB10" i="1"/>
  <c r="AC10" i="1"/>
  <c r="AB11" i="1"/>
  <c r="AC11" i="1"/>
  <c r="AB12" i="1"/>
  <c r="AC12" i="1"/>
  <c r="AB13" i="1"/>
  <c r="AC13" i="1"/>
  <c r="AB14" i="1"/>
  <c r="AC14" i="1"/>
  <c r="AB15" i="1"/>
  <c r="AC15" i="1"/>
  <c r="AB16" i="1"/>
  <c r="AC16" i="1"/>
  <c r="AB17" i="1"/>
  <c r="AC17" i="1"/>
  <c r="AB18" i="1"/>
  <c r="AC18" i="1"/>
  <c r="AB19" i="1"/>
  <c r="AC19" i="1"/>
  <c r="AB20" i="1"/>
  <c r="AC20" i="1"/>
  <c r="AB21" i="1"/>
  <c r="AC21" i="1"/>
  <c r="AB22" i="1"/>
  <c r="AC22" i="1"/>
  <c r="AB23" i="1"/>
  <c r="AC23" i="1"/>
  <c r="AB24" i="1"/>
  <c r="AC24" i="1"/>
  <c r="AB25" i="1"/>
  <c r="AC25" i="1"/>
  <c r="AB26" i="1"/>
  <c r="AC26" i="1"/>
  <c r="AB27" i="1"/>
  <c r="AC27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5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2" i="1"/>
  <c r="Y22" i="1"/>
  <c r="X23" i="1"/>
  <c r="Y23" i="1"/>
  <c r="X26" i="1"/>
  <c r="Y26" i="1"/>
  <c r="X27" i="1"/>
  <c r="Y27" i="1"/>
  <c r="W22" i="1"/>
  <c r="W23" i="1"/>
  <c r="W24" i="1"/>
  <c r="W25" i="1"/>
  <c r="W26" i="1"/>
  <c r="W27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5" i="1"/>
  <c r="I27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5" i="1"/>
</calcChain>
</file>

<file path=xl/sharedStrings.xml><?xml version="1.0" encoding="utf-8"?>
<sst xmlns="http://schemas.openxmlformats.org/spreadsheetml/2006/main" count="142" uniqueCount="103">
  <si>
    <t>EON 2020/21</t>
  </si>
  <si>
    <t>EON 2</t>
  </si>
  <si>
    <t>EON 1</t>
  </si>
  <si>
    <t>EON 3</t>
  </si>
  <si>
    <t>EON 4</t>
  </si>
  <si>
    <t>EON 5</t>
  </si>
  <si>
    <t>EON 7</t>
  </si>
  <si>
    <t>EON 8</t>
  </si>
  <si>
    <t>EON 9</t>
  </si>
  <si>
    <t>EON 10</t>
  </si>
  <si>
    <t>EON 11</t>
  </si>
  <si>
    <t>EON 12</t>
  </si>
  <si>
    <t>EON 13</t>
  </si>
  <si>
    <t>EON 14</t>
  </si>
  <si>
    <t>EON 15</t>
  </si>
  <si>
    <t>EON 16</t>
  </si>
  <si>
    <t>EON 17</t>
  </si>
  <si>
    <t>EON 18</t>
  </si>
  <si>
    <t>EON 19</t>
  </si>
  <si>
    <t>EON 20</t>
  </si>
  <si>
    <t>EON 22</t>
  </si>
  <si>
    <t>EON 23</t>
  </si>
  <si>
    <t>EON 24</t>
  </si>
  <si>
    <t>Rep 1</t>
  </si>
  <si>
    <t>Rep 2</t>
  </si>
  <si>
    <t>Rep 3</t>
  </si>
  <si>
    <t>.</t>
  </si>
  <si>
    <t>Heading  Date</t>
  </si>
  <si>
    <t>½ plot missing</t>
  </si>
  <si>
    <t>Observations</t>
  </si>
  <si>
    <t>Height in inches</t>
  </si>
  <si>
    <t>TAURA</t>
  </si>
  <si>
    <t>Nice plot</t>
  </si>
  <si>
    <t>Grain Yield in Kg/plot</t>
  </si>
  <si>
    <t>Number</t>
  </si>
  <si>
    <t>of years</t>
  </si>
  <si>
    <t>in Nursery</t>
  </si>
  <si>
    <t>new</t>
  </si>
  <si>
    <t>Ori-</t>
  </si>
  <si>
    <t>gin</t>
  </si>
  <si>
    <t>IL</t>
  </si>
  <si>
    <t>UCD</t>
  </si>
  <si>
    <t>MN</t>
  </si>
  <si>
    <t>SD</t>
  </si>
  <si>
    <t>WI</t>
  </si>
  <si>
    <t>Local Check</t>
  </si>
  <si>
    <t>Variety</t>
  </si>
  <si>
    <t>or</t>
  </si>
  <si>
    <t>Selection</t>
  </si>
  <si>
    <t>IL 14-7952</t>
  </si>
  <si>
    <t>IL 14-4822</t>
  </si>
  <si>
    <t>IL 15-8735</t>
  </si>
  <si>
    <t>IL 15-5271</t>
  </si>
  <si>
    <t>DON (ck)</t>
  </si>
  <si>
    <t>A25</t>
  </si>
  <si>
    <t>A10</t>
  </si>
  <si>
    <t>A11</t>
  </si>
  <si>
    <t>MN17111X_003</t>
  </si>
  <si>
    <t>MN17075X_021</t>
  </si>
  <si>
    <t>MN17034X_009</t>
  </si>
  <si>
    <t>MN17111X_024</t>
  </si>
  <si>
    <t>NATTY (ck)</t>
  </si>
  <si>
    <t>SD160067</t>
  </si>
  <si>
    <t>SD160070</t>
  </si>
  <si>
    <t>SD160071</t>
  </si>
  <si>
    <t>SD170584</t>
  </si>
  <si>
    <t>SD170915</t>
  </si>
  <si>
    <t>SD171469</t>
  </si>
  <si>
    <t>WIX10305-4</t>
  </si>
  <si>
    <t>WIX10677-3</t>
  </si>
  <si>
    <t>WIX10710-1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</si>
  <si>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KAME was tested as WIX8177-1 in (2001-2003)</t>
    </r>
  </si>
  <si>
    <t>Pedigree</t>
  </si>
  <si>
    <t>IL09-2756/IL05-11942</t>
  </si>
  <si>
    <t>IL07-8273/Reins</t>
  </si>
  <si>
    <t>IL10-6212/IL06-8153</t>
  </si>
  <si>
    <t>IL09-2771/IL09-5745</t>
  </si>
  <si>
    <t>Coker 234/2/Orbit/CI 8168</t>
  </si>
  <si>
    <t>UFRGS952521/X7735-4-Bw0-0-0-0/05</t>
  </si>
  <si>
    <t>Bw1402/98/2</t>
  </si>
  <si>
    <t>BW892-896</t>
  </si>
  <si>
    <t>Grain</t>
  </si>
  <si>
    <t>Yield</t>
  </si>
  <si>
    <t>Mean</t>
  </si>
  <si>
    <t>WIX9897-5/SD120296</t>
  </si>
  <si>
    <t>SD110466/2016A9_2050</t>
  </si>
  <si>
    <t>SD081644/MN11139</t>
  </si>
  <si>
    <t>WIX9897-5/D120296</t>
  </si>
  <si>
    <t>SD020701//SD030888/ND030349</t>
  </si>
  <si>
    <t>SD110479/SD100015</t>
  </si>
  <si>
    <t>SD110304/Sumo</t>
  </si>
  <si>
    <t>Hayden/MN11140</t>
  </si>
  <si>
    <t>SD090007/HiFi//Sumo</t>
  </si>
  <si>
    <t>WIX9248-2WIX9192-2</t>
  </si>
  <si>
    <t>WIX9414-1?MN06203</t>
  </si>
  <si>
    <t>WIX9865-2/MN07210</t>
  </si>
  <si>
    <t>late</t>
  </si>
  <si>
    <r>
      <t>late</t>
    </r>
    <r>
      <rPr>
        <vertAlign val="superscript"/>
        <sz val="11"/>
        <color theme="1"/>
        <rFont val="Calibri"/>
        <family val="2"/>
        <scheme val="minor"/>
      </rPr>
      <t>2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</si>
  <si>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late = later than April 25th, last time taking heading notes</t>
    </r>
  </si>
  <si>
    <t>lodging</t>
  </si>
  <si>
    <t>HEADING DATE (JULIAN)</t>
  </si>
  <si>
    <t>HEIGHT (cm)</t>
  </si>
  <si>
    <t>GRAIN YIELD (g/m2) --&gt; if plot is 4.45935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</si>
</sst>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/>
    </xf>
    <xf numFmtId="164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0" fontId="3" fillId="2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2CDA-7793-489C-B68E-B8D55868C577}">
  <dimension ref="A1:AC38"/>
  <sheetViews>
    <sheetView tabSelected="1" workbookViewId="0">
      <selection activeCell="P27" sqref="P27"/>
    </sheetView>
  </sheetViews>
  <sheetFormatPr baseColWidth="10" defaultColWidth="8.83203125" defaultRowHeight="15" x14ac:dyDescent="0.2"/>
  <cols>
    <col min="1" max="1" width="7" customWidth="1"/>
    <col min="2" max="2" width="12.1640625" style="4" customWidth="1"/>
    <col min="3" max="3" width="9.1640625" style="4"/>
    <col min="4" max="4" width="16" customWidth="1"/>
    <col min="5" max="5" width="33.83203125" customWidth="1"/>
    <col min="10" max="10" width="13.33203125" customWidth="1"/>
    <col min="17" max="17" width="11.33203125" customWidth="1"/>
    <col min="18" max="18" width="13.6640625" customWidth="1"/>
    <col min="19" max="19" width="9.83203125" customWidth="1"/>
    <col min="20" max="20" width="8.5" customWidth="1"/>
    <col min="21" max="21" width="10" customWidth="1"/>
    <col min="22" max="22" width="13.6640625" customWidth="1"/>
  </cols>
  <sheetData>
    <row r="1" spans="1:29" ht="16" x14ac:dyDescent="0.2">
      <c r="A1" s="16" t="s">
        <v>0</v>
      </c>
      <c r="B1" s="16"/>
      <c r="C1" s="16"/>
      <c r="D1" s="16"/>
      <c r="E1" s="16"/>
      <c r="F1" s="16"/>
      <c r="G1" s="16"/>
    </row>
    <row r="2" spans="1:29" ht="16" x14ac:dyDescent="0.2">
      <c r="A2" s="1"/>
      <c r="B2" s="3" t="s">
        <v>34</v>
      </c>
      <c r="C2" s="3" t="s">
        <v>38</v>
      </c>
      <c r="D2" s="3" t="s">
        <v>46</v>
      </c>
      <c r="E2" s="1"/>
      <c r="F2" s="16" t="s">
        <v>33</v>
      </c>
      <c r="G2" s="16"/>
      <c r="H2" s="16"/>
      <c r="I2" s="3" t="s">
        <v>81</v>
      </c>
      <c r="J2" t="s">
        <v>29</v>
      </c>
      <c r="K2" s="17" t="s">
        <v>27</v>
      </c>
      <c r="L2" s="17"/>
      <c r="M2" s="17"/>
      <c r="O2" s="17" t="s">
        <v>30</v>
      </c>
      <c r="P2" s="17"/>
      <c r="Q2" s="17"/>
      <c r="S2" s="15" t="s">
        <v>102</v>
      </c>
      <c r="T2" s="15"/>
      <c r="U2" s="15"/>
      <c r="W2" s="15" t="s">
        <v>100</v>
      </c>
      <c r="X2" s="15"/>
      <c r="Y2" s="15"/>
      <c r="AA2" s="15" t="s">
        <v>101</v>
      </c>
      <c r="AB2" s="15"/>
      <c r="AC2" s="15"/>
    </row>
    <row r="3" spans="1:29" ht="16" x14ac:dyDescent="0.2">
      <c r="A3" s="1"/>
      <c r="B3" s="3" t="s">
        <v>35</v>
      </c>
      <c r="C3" s="3" t="s">
        <v>39</v>
      </c>
      <c r="D3" s="3" t="s">
        <v>47</v>
      </c>
      <c r="E3" s="1" t="s">
        <v>72</v>
      </c>
      <c r="F3" s="1" t="s">
        <v>23</v>
      </c>
      <c r="G3" s="1" t="s">
        <v>24</v>
      </c>
      <c r="H3" s="2" t="s">
        <v>25</v>
      </c>
      <c r="I3" s="2" t="s">
        <v>82</v>
      </c>
    </row>
    <row r="4" spans="1:29" ht="16" x14ac:dyDescent="0.2">
      <c r="A4" s="1"/>
      <c r="B4" s="3" t="s">
        <v>36</v>
      </c>
      <c r="C4" s="7"/>
      <c r="D4" s="3" t="s">
        <v>48</v>
      </c>
      <c r="E4" s="1"/>
      <c r="F4" s="1"/>
      <c r="G4" s="1"/>
      <c r="H4" s="2"/>
      <c r="I4" s="2" t="s">
        <v>83</v>
      </c>
    </row>
    <row r="5" spans="1:29" ht="20" customHeight="1" x14ac:dyDescent="0.2">
      <c r="A5" t="s">
        <v>2</v>
      </c>
      <c r="B5" s="4">
        <v>3</v>
      </c>
      <c r="C5" s="4" t="s">
        <v>40</v>
      </c>
      <c r="D5" s="8" t="s">
        <v>49</v>
      </c>
      <c r="E5" s="9" t="s">
        <v>73</v>
      </c>
      <c r="F5" s="12">
        <v>2.415</v>
      </c>
      <c r="G5" s="12">
        <v>2.67</v>
      </c>
      <c r="H5" s="12">
        <v>1.5349999999999999</v>
      </c>
      <c r="I5" s="12">
        <f>AVERAGE(F5:H5)</f>
        <v>2.2066666666666666</v>
      </c>
      <c r="J5" t="s">
        <v>32</v>
      </c>
      <c r="K5" s="5">
        <v>44302</v>
      </c>
      <c r="L5" s="5">
        <v>44302</v>
      </c>
      <c r="M5" s="5">
        <v>44303</v>
      </c>
      <c r="O5">
        <v>44</v>
      </c>
      <c r="P5">
        <v>46</v>
      </c>
      <c r="Q5">
        <v>47</v>
      </c>
      <c r="S5">
        <f>(F5*1000)/4.45935</f>
        <v>541.55874735107136</v>
      </c>
      <c r="T5">
        <f t="shared" ref="T5:U20" si="0">(G5*1000)/4.45935</f>
        <v>598.74196912106027</v>
      </c>
      <c r="U5">
        <f t="shared" si="0"/>
        <v>344.22057026248223</v>
      </c>
      <c r="W5">
        <f>K5-DATE(YEAR(K5),1,0)</f>
        <v>106</v>
      </c>
      <c r="X5">
        <f t="shared" ref="X5:Y20" si="1">L5-DATE(YEAR(L5),1,0)</f>
        <v>106</v>
      </c>
      <c r="Y5">
        <f t="shared" si="1"/>
        <v>107</v>
      </c>
      <c r="AA5">
        <f>O5*2.54</f>
        <v>111.76</v>
      </c>
      <c r="AB5">
        <f t="shared" ref="AB5:AC20" si="2">P5*2.54</f>
        <v>116.84</v>
      </c>
      <c r="AC5">
        <f t="shared" si="2"/>
        <v>119.38</v>
      </c>
    </row>
    <row r="6" spans="1:29" ht="20" customHeight="1" x14ac:dyDescent="0.2">
      <c r="A6" t="s">
        <v>1</v>
      </c>
      <c r="B6" s="6" t="s">
        <v>37</v>
      </c>
      <c r="C6" s="4" t="s">
        <v>40</v>
      </c>
      <c r="D6" s="8" t="s">
        <v>50</v>
      </c>
      <c r="E6" s="9" t="s">
        <v>74</v>
      </c>
      <c r="F6" s="12">
        <v>1.74</v>
      </c>
      <c r="G6" s="12">
        <v>1.905</v>
      </c>
      <c r="H6" s="12">
        <v>1.01</v>
      </c>
      <c r="I6" s="12">
        <f t="shared" ref="I6:I26" si="3">AVERAGE(F6:H6)</f>
        <v>1.5516666666666667</v>
      </c>
      <c r="K6" s="5">
        <v>44310</v>
      </c>
      <c r="L6" s="5">
        <v>44309</v>
      </c>
      <c r="M6" s="5">
        <v>44310</v>
      </c>
      <c r="O6">
        <v>43</v>
      </c>
      <c r="P6">
        <v>46</v>
      </c>
      <c r="Q6">
        <v>51</v>
      </c>
      <c r="S6">
        <f t="shared" ref="S6:S27" si="4">(F6*1000)/4.45935</f>
        <v>390.19139560698312</v>
      </c>
      <c r="T6">
        <f t="shared" si="0"/>
        <v>427.19230381109355</v>
      </c>
      <c r="U6">
        <f t="shared" si="0"/>
        <v>226.49040779485802</v>
      </c>
      <c r="W6">
        <f t="shared" ref="W6:W27" si="5">K6-DATE(YEAR(K6),1,0)</f>
        <v>114</v>
      </c>
      <c r="X6">
        <f t="shared" si="1"/>
        <v>113</v>
      </c>
      <c r="Y6">
        <f t="shared" si="1"/>
        <v>114</v>
      </c>
      <c r="AA6">
        <f t="shared" ref="AA6:AA27" si="6">O6*2.54</f>
        <v>109.22</v>
      </c>
      <c r="AB6">
        <f t="shared" si="2"/>
        <v>116.84</v>
      </c>
      <c r="AC6">
        <f t="shared" si="2"/>
        <v>129.54</v>
      </c>
    </row>
    <row r="7" spans="1:29" ht="20" customHeight="1" x14ac:dyDescent="0.2">
      <c r="A7" t="s">
        <v>3</v>
      </c>
      <c r="B7" s="6" t="s">
        <v>37</v>
      </c>
      <c r="C7" s="4" t="s">
        <v>40</v>
      </c>
      <c r="D7" s="8" t="s">
        <v>51</v>
      </c>
      <c r="E7" s="10" t="s">
        <v>75</v>
      </c>
      <c r="F7" s="12">
        <v>2.13</v>
      </c>
      <c r="G7" s="12">
        <v>2.02</v>
      </c>
      <c r="H7" s="12">
        <v>1.99</v>
      </c>
      <c r="I7" s="12">
        <f t="shared" si="3"/>
        <v>2.0466666666666669</v>
      </c>
      <c r="K7" s="5">
        <v>44308</v>
      </c>
      <c r="L7" s="5">
        <v>44308</v>
      </c>
      <c r="M7" s="5">
        <v>44308</v>
      </c>
      <c r="O7">
        <v>46</v>
      </c>
      <c r="P7">
        <v>46</v>
      </c>
      <c r="Q7">
        <v>51</v>
      </c>
      <c r="S7">
        <f t="shared" si="4"/>
        <v>477.64808772578965</v>
      </c>
      <c r="T7">
        <f t="shared" si="0"/>
        <v>452.98081558971603</v>
      </c>
      <c r="U7">
        <f t="shared" si="0"/>
        <v>446.25337773442322</v>
      </c>
      <c r="W7">
        <f t="shared" si="5"/>
        <v>112</v>
      </c>
      <c r="X7">
        <f t="shared" si="1"/>
        <v>112</v>
      </c>
      <c r="Y7">
        <f t="shared" si="1"/>
        <v>112</v>
      </c>
      <c r="AA7">
        <f t="shared" si="6"/>
        <v>116.84</v>
      </c>
      <c r="AB7">
        <f t="shared" si="2"/>
        <v>116.84</v>
      </c>
      <c r="AC7">
        <f t="shared" si="2"/>
        <v>129.54</v>
      </c>
    </row>
    <row r="8" spans="1:29" ht="20" customHeight="1" x14ac:dyDescent="0.2">
      <c r="A8" t="s">
        <v>4</v>
      </c>
      <c r="B8" s="6" t="s">
        <v>37</v>
      </c>
      <c r="C8" s="4" t="s">
        <v>40</v>
      </c>
      <c r="D8" s="8" t="s">
        <v>52</v>
      </c>
      <c r="E8" s="9" t="s">
        <v>76</v>
      </c>
      <c r="F8" s="12">
        <v>2.6</v>
      </c>
      <c r="G8" s="12">
        <v>1.82</v>
      </c>
      <c r="H8" s="12">
        <v>2.375</v>
      </c>
      <c r="I8" s="12">
        <f t="shared" si="3"/>
        <v>2.2650000000000001</v>
      </c>
      <c r="K8" s="5">
        <v>44308</v>
      </c>
      <c r="L8" s="5">
        <v>44308</v>
      </c>
      <c r="M8" s="5">
        <v>44308</v>
      </c>
      <c r="O8">
        <v>45</v>
      </c>
      <c r="P8">
        <v>45</v>
      </c>
      <c r="Q8">
        <v>52</v>
      </c>
      <c r="S8">
        <f t="shared" si="4"/>
        <v>583.04461412537705</v>
      </c>
      <c r="T8">
        <f t="shared" si="0"/>
        <v>408.13122988776394</v>
      </c>
      <c r="U8">
        <f t="shared" si="0"/>
        <v>532.58883021068095</v>
      </c>
      <c r="W8">
        <f t="shared" si="5"/>
        <v>112</v>
      </c>
      <c r="X8">
        <f t="shared" si="1"/>
        <v>112</v>
      </c>
      <c r="Y8">
        <f t="shared" si="1"/>
        <v>112</v>
      </c>
      <c r="AA8">
        <f t="shared" si="6"/>
        <v>114.3</v>
      </c>
      <c r="AB8">
        <f t="shared" si="2"/>
        <v>114.3</v>
      </c>
      <c r="AC8">
        <f t="shared" si="2"/>
        <v>132.08000000000001</v>
      </c>
    </row>
    <row r="9" spans="1:29" ht="20" customHeight="1" x14ac:dyDescent="0.2">
      <c r="A9" t="s">
        <v>5</v>
      </c>
      <c r="B9" s="4">
        <v>37</v>
      </c>
      <c r="C9" s="4" t="s">
        <v>40</v>
      </c>
      <c r="D9" s="8" t="s">
        <v>53</v>
      </c>
      <c r="E9" s="9" t="s">
        <v>77</v>
      </c>
      <c r="F9" s="12">
        <v>2.9550000000000001</v>
      </c>
      <c r="G9" s="12">
        <v>2.59</v>
      </c>
      <c r="H9" s="12">
        <v>2.8050000000000002</v>
      </c>
      <c r="I9" s="12">
        <f t="shared" si="3"/>
        <v>2.7833333333333332</v>
      </c>
      <c r="K9" s="5">
        <v>44304</v>
      </c>
      <c r="L9" s="5">
        <v>44303</v>
      </c>
      <c r="M9" s="5">
        <v>44304</v>
      </c>
      <c r="O9">
        <v>46.5</v>
      </c>
      <c r="P9">
        <v>48</v>
      </c>
      <c r="Q9">
        <v>52</v>
      </c>
      <c r="S9">
        <f t="shared" si="4"/>
        <v>662.65262874634197</v>
      </c>
      <c r="T9">
        <f t="shared" si="0"/>
        <v>580.80213484027945</v>
      </c>
      <c r="U9">
        <f t="shared" si="0"/>
        <v>629.01543946987795</v>
      </c>
      <c r="W9">
        <f t="shared" si="5"/>
        <v>108</v>
      </c>
      <c r="X9">
        <f t="shared" si="1"/>
        <v>107</v>
      </c>
      <c r="Y9">
        <f t="shared" si="1"/>
        <v>108</v>
      </c>
      <c r="AA9">
        <f t="shared" si="6"/>
        <v>118.11</v>
      </c>
      <c r="AB9">
        <f t="shared" si="2"/>
        <v>121.92</v>
      </c>
      <c r="AC9">
        <f t="shared" si="2"/>
        <v>132.08000000000001</v>
      </c>
    </row>
    <row r="10" spans="1:29" ht="20" customHeight="1" x14ac:dyDescent="0.2">
      <c r="A10" t="s">
        <v>6</v>
      </c>
      <c r="B10" s="6" t="s">
        <v>37</v>
      </c>
      <c r="C10" s="4" t="s">
        <v>41</v>
      </c>
      <c r="D10" s="8" t="s">
        <v>54</v>
      </c>
      <c r="E10" s="9" t="s">
        <v>78</v>
      </c>
      <c r="F10" s="12">
        <v>2.6150000000000002</v>
      </c>
      <c r="G10" s="12">
        <v>1.9350000000000001</v>
      </c>
      <c r="H10" s="12">
        <v>2.4500000000000002</v>
      </c>
      <c r="I10" s="12">
        <f t="shared" si="3"/>
        <v>2.3333333333333335</v>
      </c>
      <c r="K10" s="5">
        <v>44293</v>
      </c>
      <c r="L10" s="5">
        <v>44293</v>
      </c>
      <c r="M10" s="5">
        <v>44293</v>
      </c>
      <c r="O10">
        <v>50</v>
      </c>
      <c r="P10">
        <v>49</v>
      </c>
      <c r="Q10">
        <v>52</v>
      </c>
      <c r="S10">
        <f t="shared" si="4"/>
        <v>586.40833305302351</v>
      </c>
      <c r="T10">
        <f t="shared" si="0"/>
        <v>433.91974166638636</v>
      </c>
      <c r="U10">
        <f t="shared" si="0"/>
        <v>549.40742484891302</v>
      </c>
      <c r="W10">
        <f t="shared" si="5"/>
        <v>97</v>
      </c>
      <c r="X10">
        <f t="shared" si="1"/>
        <v>97</v>
      </c>
      <c r="Y10">
        <f t="shared" si="1"/>
        <v>97</v>
      </c>
      <c r="AA10">
        <f t="shared" si="6"/>
        <v>127</v>
      </c>
      <c r="AB10">
        <f t="shared" si="2"/>
        <v>124.46000000000001</v>
      </c>
      <c r="AC10">
        <f t="shared" si="2"/>
        <v>132.08000000000001</v>
      </c>
    </row>
    <row r="11" spans="1:29" ht="20" customHeight="1" x14ac:dyDescent="0.2">
      <c r="A11" t="s">
        <v>7</v>
      </c>
      <c r="B11" s="6" t="s">
        <v>37</v>
      </c>
      <c r="C11" s="4" t="s">
        <v>41</v>
      </c>
      <c r="D11" s="8" t="s">
        <v>55</v>
      </c>
      <c r="E11" s="9" t="s">
        <v>79</v>
      </c>
      <c r="F11" s="12">
        <v>2.7650000000000001</v>
      </c>
      <c r="G11" s="12">
        <v>2.12</v>
      </c>
      <c r="H11" s="12">
        <v>3.07</v>
      </c>
      <c r="I11" s="12">
        <f t="shared" si="3"/>
        <v>2.6516666666666668</v>
      </c>
      <c r="K11" s="5">
        <v>44294</v>
      </c>
      <c r="L11" s="5">
        <v>44295</v>
      </c>
      <c r="M11" s="5">
        <v>44294</v>
      </c>
      <c r="O11">
        <v>37</v>
      </c>
      <c r="P11">
        <v>44</v>
      </c>
      <c r="Q11">
        <v>46</v>
      </c>
      <c r="S11">
        <f t="shared" si="4"/>
        <v>620.04552232948754</v>
      </c>
      <c r="T11">
        <f t="shared" si="0"/>
        <v>475.40560844069205</v>
      </c>
      <c r="U11">
        <f t="shared" si="0"/>
        <v>688.44114052496445</v>
      </c>
      <c r="W11">
        <f t="shared" si="5"/>
        <v>98</v>
      </c>
      <c r="X11">
        <f t="shared" si="1"/>
        <v>99</v>
      </c>
      <c r="Y11">
        <f t="shared" si="1"/>
        <v>98</v>
      </c>
      <c r="AA11">
        <f t="shared" si="6"/>
        <v>93.98</v>
      </c>
      <c r="AB11">
        <f t="shared" si="2"/>
        <v>111.76</v>
      </c>
      <c r="AC11">
        <f t="shared" si="2"/>
        <v>116.84</v>
      </c>
    </row>
    <row r="12" spans="1:29" ht="20" customHeight="1" x14ac:dyDescent="0.2">
      <c r="A12" t="s">
        <v>8</v>
      </c>
      <c r="B12" s="6" t="s">
        <v>37</v>
      </c>
      <c r="C12" s="4" t="s">
        <v>41</v>
      </c>
      <c r="D12" s="8" t="s">
        <v>56</v>
      </c>
      <c r="E12" s="9" t="s">
        <v>80</v>
      </c>
      <c r="F12" s="12">
        <v>2.645</v>
      </c>
      <c r="G12" s="12">
        <v>1.4350000000000001</v>
      </c>
      <c r="H12" s="12">
        <v>2.125</v>
      </c>
      <c r="I12" s="12">
        <f t="shared" si="3"/>
        <v>2.0683333333333334</v>
      </c>
      <c r="K12" s="5">
        <v>44294</v>
      </c>
      <c r="L12" s="5">
        <v>44295</v>
      </c>
      <c r="M12" s="5">
        <v>44295</v>
      </c>
      <c r="O12">
        <v>40</v>
      </c>
      <c r="P12">
        <v>44</v>
      </c>
      <c r="Q12">
        <v>46</v>
      </c>
      <c r="S12">
        <f t="shared" si="4"/>
        <v>593.13577090831632</v>
      </c>
      <c r="T12">
        <f t="shared" si="0"/>
        <v>321.79577741150621</v>
      </c>
      <c r="U12">
        <f t="shared" si="0"/>
        <v>476.52684808324085</v>
      </c>
      <c r="W12">
        <f t="shared" si="5"/>
        <v>98</v>
      </c>
      <c r="X12">
        <f t="shared" si="1"/>
        <v>99</v>
      </c>
      <c r="Y12">
        <f t="shared" si="1"/>
        <v>99</v>
      </c>
      <c r="AA12">
        <f t="shared" si="6"/>
        <v>101.6</v>
      </c>
      <c r="AB12">
        <f t="shared" si="2"/>
        <v>111.76</v>
      </c>
      <c r="AC12">
        <f t="shared" si="2"/>
        <v>116.84</v>
      </c>
    </row>
    <row r="13" spans="1:29" ht="20" customHeight="1" x14ac:dyDescent="0.2">
      <c r="A13" t="s">
        <v>9</v>
      </c>
      <c r="B13" s="6" t="s">
        <v>37</v>
      </c>
      <c r="C13" s="4" t="s">
        <v>42</v>
      </c>
      <c r="D13" s="8" t="s">
        <v>57</v>
      </c>
      <c r="E13" s="9" t="s">
        <v>84</v>
      </c>
      <c r="F13" s="12">
        <v>1.51</v>
      </c>
      <c r="G13" s="12">
        <v>1.24</v>
      </c>
      <c r="H13" s="12">
        <v>1.5349999999999999</v>
      </c>
      <c r="I13" s="12">
        <f t="shared" si="3"/>
        <v>1.4283333333333335</v>
      </c>
      <c r="K13" s="5">
        <v>44310</v>
      </c>
      <c r="L13" s="5">
        <v>44310</v>
      </c>
      <c r="M13" s="5">
        <v>44310</v>
      </c>
      <c r="O13">
        <v>46</v>
      </c>
      <c r="P13">
        <v>48</v>
      </c>
      <c r="Q13">
        <v>58</v>
      </c>
      <c r="S13">
        <f t="shared" si="4"/>
        <v>338.61437204973822</v>
      </c>
      <c r="T13">
        <f t="shared" si="0"/>
        <v>278.06743135210291</v>
      </c>
      <c r="U13">
        <f t="shared" si="0"/>
        <v>344.22057026248223</v>
      </c>
      <c r="W13">
        <f t="shared" si="5"/>
        <v>114</v>
      </c>
      <c r="X13">
        <f t="shared" si="1"/>
        <v>114</v>
      </c>
      <c r="Y13">
        <f t="shared" si="1"/>
        <v>114</v>
      </c>
      <c r="AA13">
        <f t="shared" si="6"/>
        <v>116.84</v>
      </c>
      <c r="AB13">
        <f t="shared" si="2"/>
        <v>121.92</v>
      </c>
      <c r="AC13">
        <f t="shared" si="2"/>
        <v>147.32</v>
      </c>
    </row>
    <row r="14" spans="1:29" ht="20" customHeight="1" x14ac:dyDescent="0.2">
      <c r="A14" t="s">
        <v>10</v>
      </c>
      <c r="B14" s="6" t="s">
        <v>37</v>
      </c>
      <c r="C14" s="4" t="s">
        <v>42</v>
      </c>
      <c r="D14" s="8" t="s">
        <v>58</v>
      </c>
      <c r="E14" s="9" t="s">
        <v>85</v>
      </c>
      <c r="F14" s="12">
        <v>2.3650000000000002</v>
      </c>
      <c r="G14" s="12">
        <v>1.75</v>
      </c>
      <c r="H14" s="12">
        <v>1.94</v>
      </c>
      <c r="I14" s="12">
        <f t="shared" si="3"/>
        <v>2.0183333333333331</v>
      </c>
      <c r="K14" s="5">
        <v>44304</v>
      </c>
      <c r="L14" s="5">
        <v>44305</v>
      </c>
      <c r="M14" s="5">
        <v>44308</v>
      </c>
      <c r="O14">
        <v>47</v>
      </c>
      <c r="P14">
        <v>48</v>
      </c>
      <c r="Q14">
        <v>56</v>
      </c>
      <c r="S14">
        <f t="shared" si="4"/>
        <v>530.34635092558335</v>
      </c>
      <c r="T14">
        <f t="shared" si="0"/>
        <v>392.43387489208072</v>
      </c>
      <c r="U14">
        <f t="shared" si="0"/>
        <v>435.04098130893522</v>
      </c>
      <c r="W14">
        <f t="shared" si="5"/>
        <v>108</v>
      </c>
      <c r="X14">
        <f t="shared" si="1"/>
        <v>109</v>
      </c>
      <c r="Y14">
        <f t="shared" si="1"/>
        <v>112</v>
      </c>
      <c r="AA14">
        <f t="shared" si="6"/>
        <v>119.38</v>
      </c>
      <c r="AB14">
        <f t="shared" si="2"/>
        <v>121.92</v>
      </c>
      <c r="AC14">
        <f t="shared" si="2"/>
        <v>142.24</v>
      </c>
    </row>
    <row r="15" spans="1:29" ht="20" customHeight="1" x14ac:dyDescent="0.2">
      <c r="A15" t="s">
        <v>11</v>
      </c>
      <c r="B15" s="6" t="s">
        <v>37</v>
      </c>
      <c r="C15" s="4" t="s">
        <v>42</v>
      </c>
      <c r="D15" s="8" t="s">
        <v>59</v>
      </c>
      <c r="E15" s="9" t="s">
        <v>86</v>
      </c>
      <c r="F15" s="12">
        <v>2.1349999999999998</v>
      </c>
      <c r="G15" s="12">
        <v>1.51</v>
      </c>
      <c r="H15" s="12">
        <v>1.99</v>
      </c>
      <c r="I15" s="12">
        <f t="shared" si="3"/>
        <v>1.8783333333333332</v>
      </c>
      <c r="K15" s="5">
        <v>44309</v>
      </c>
      <c r="L15" s="5">
        <v>44305</v>
      </c>
      <c r="M15" s="5">
        <v>44309</v>
      </c>
      <c r="O15">
        <v>45</v>
      </c>
      <c r="P15">
        <v>46</v>
      </c>
      <c r="Q15">
        <v>56.5</v>
      </c>
      <c r="S15">
        <f t="shared" si="4"/>
        <v>478.76932736833845</v>
      </c>
      <c r="T15">
        <f t="shared" si="0"/>
        <v>338.61437204973822</v>
      </c>
      <c r="U15">
        <f t="shared" si="0"/>
        <v>446.25337773442322</v>
      </c>
      <c r="W15">
        <f t="shared" si="5"/>
        <v>113</v>
      </c>
      <c r="X15">
        <f t="shared" si="1"/>
        <v>109</v>
      </c>
      <c r="Y15">
        <f t="shared" si="1"/>
        <v>113</v>
      </c>
      <c r="AA15">
        <f t="shared" si="6"/>
        <v>114.3</v>
      </c>
      <c r="AB15">
        <f t="shared" si="2"/>
        <v>116.84</v>
      </c>
      <c r="AC15">
        <f t="shared" si="2"/>
        <v>143.51</v>
      </c>
    </row>
    <row r="16" spans="1:29" ht="20" customHeight="1" x14ac:dyDescent="0.2">
      <c r="A16" t="s">
        <v>12</v>
      </c>
      <c r="B16" s="6" t="s">
        <v>37</v>
      </c>
      <c r="C16" s="4" t="s">
        <v>42</v>
      </c>
      <c r="D16" s="8" t="s">
        <v>60</v>
      </c>
      <c r="E16" s="9" t="s">
        <v>87</v>
      </c>
      <c r="F16" s="12">
        <v>2.6949999999999998</v>
      </c>
      <c r="G16" s="12">
        <v>2.0699999999999998</v>
      </c>
      <c r="H16" s="12">
        <v>2.9849999999999999</v>
      </c>
      <c r="I16" s="12">
        <f t="shared" si="3"/>
        <v>2.5833333333333335</v>
      </c>
      <c r="K16" s="5">
        <v>44301</v>
      </c>
      <c r="L16" s="5">
        <v>44303</v>
      </c>
      <c r="M16" s="5">
        <v>44303</v>
      </c>
      <c r="O16">
        <v>45</v>
      </c>
      <c r="P16">
        <v>44</v>
      </c>
      <c r="Q16">
        <v>54</v>
      </c>
      <c r="S16">
        <f t="shared" si="4"/>
        <v>604.34816733380433</v>
      </c>
      <c r="T16">
        <f t="shared" si="0"/>
        <v>464.19321201520404</v>
      </c>
      <c r="U16">
        <f t="shared" si="0"/>
        <v>669.38006660163478</v>
      </c>
      <c r="W16">
        <f t="shared" si="5"/>
        <v>105</v>
      </c>
      <c r="X16">
        <f t="shared" si="1"/>
        <v>107</v>
      </c>
      <c r="Y16">
        <f t="shared" si="1"/>
        <v>107</v>
      </c>
      <c r="AA16">
        <f t="shared" si="6"/>
        <v>114.3</v>
      </c>
      <c r="AB16">
        <f t="shared" si="2"/>
        <v>111.76</v>
      </c>
      <c r="AC16">
        <f t="shared" si="2"/>
        <v>137.16</v>
      </c>
    </row>
    <row r="17" spans="1:29" ht="20" customHeight="1" x14ac:dyDescent="0.2">
      <c r="A17" t="s">
        <v>13</v>
      </c>
      <c r="B17" s="6">
        <v>8</v>
      </c>
      <c r="C17" s="4" t="s">
        <v>43</v>
      </c>
      <c r="D17" s="8" t="s">
        <v>61</v>
      </c>
      <c r="E17" s="9" t="s">
        <v>88</v>
      </c>
      <c r="F17" s="12">
        <v>2.2349999999999999</v>
      </c>
      <c r="G17" s="12">
        <v>1.98</v>
      </c>
      <c r="H17" s="12">
        <v>2.57</v>
      </c>
      <c r="I17" s="12">
        <f t="shared" si="3"/>
        <v>2.2616666666666667</v>
      </c>
      <c r="K17" s="5">
        <v>44305</v>
      </c>
      <c r="L17" s="5">
        <v>44303</v>
      </c>
      <c r="M17" s="5">
        <v>44303</v>
      </c>
      <c r="O17">
        <v>53</v>
      </c>
      <c r="P17">
        <v>56</v>
      </c>
      <c r="Q17">
        <v>62</v>
      </c>
      <c r="S17">
        <f t="shared" si="4"/>
        <v>501.19412021931453</v>
      </c>
      <c r="T17">
        <f t="shared" si="0"/>
        <v>444.01089844932562</v>
      </c>
      <c r="U17">
        <f t="shared" si="0"/>
        <v>576.31717627008425</v>
      </c>
      <c r="W17">
        <f t="shared" si="5"/>
        <v>109</v>
      </c>
      <c r="X17">
        <f t="shared" si="1"/>
        <v>107</v>
      </c>
      <c r="Y17">
        <f t="shared" si="1"/>
        <v>107</v>
      </c>
      <c r="AA17">
        <f t="shared" si="6"/>
        <v>134.62</v>
      </c>
      <c r="AB17">
        <f t="shared" si="2"/>
        <v>142.24</v>
      </c>
      <c r="AC17">
        <f t="shared" si="2"/>
        <v>157.47999999999999</v>
      </c>
    </row>
    <row r="18" spans="1:29" ht="20" customHeight="1" x14ac:dyDescent="0.2">
      <c r="A18" t="s">
        <v>14</v>
      </c>
      <c r="B18" s="6">
        <v>2</v>
      </c>
      <c r="C18" s="4" t="s">
        <v>43</v>
      </c>
      <c r="D18" s="8" t="s">
        <v>62</v>
      </c>
      <c r="E18" s="9" t="s">
        <v>89</v>
      </c>
      <c r="F18" s="12">
        <v>2.73</v>
      </c>
      <c r="G18" s="12">
        <v>1.625</v>
      </c>
      <c r="H18" s="12">
        <v>2.37</v>
      </c>
      <c r="I18" s="12">
        <f t="shared" si="3"/>
        <v>2.2416666666666667</v>
      </c>
      <c r="K18" s="5">
        <v>44300</v>
      </c>
      <c r="L18" s="5">
        <v>44299</v>
      </c>
      <c r="M18" s="5">
        <v>44299</v>
      </c>
      <c r="O18">
        <v>54</v>
      </c>
      <c r="P18">
        <v>54.5</v>
      </c>
      <c r="Q18">
        <v>59</v>
      </c>
      <c r="S18">
        <f t="shared" si="4"/>
        <v>612.19684483164588</v>
      </c>
      <c r="T18">
        <f t="shared" si="0"/>
        <v>364.40288382836064</v>
      </c>
      <c r="U18">
        <f t="shared" si="0"/>
        <v>531.46759056813221</v>
      </c>
      <c r="W18">
        <f t="shared" si="5"/>
        <v>104</v>
      </c>
      <c r="X18">
        <f t="shared" si="1"/>
        <v>103</v>
      </c>
      <c r="Y18">
        <f t="shared" si="1"/>
        <v>103</v>
      </c>
      <c r="AA18">
        <f t="shared" si="6"/>
        <v>137.16</v>
      </c>
      <c r="AB18">
        <f t="shared" si="2"/>
        <v>138.43</v>
      </c>
      <c r="AC18">
        <f t="shared" si="2"/>
        <v>149.86000000000001</v>
      </c>
    </row>
    <row r="19" spans="1:29" ht="20" customHeight="1" x14ac:dyDescent="0.2">
      <c r="A19" t="s">
        <v>15</v>
      </c>
      <c r="B19" s="6">
        <v>2</v>
      </c>
      <c r="C19" s="4" t="s">
        <v>43</v>
      </c>
      <c r="D19" s="8" t="s">
        <v>63</v>
      </c>
      <c r="E19" s="9" t="s">
        <v>89</v>
      </c>
      <c r="F19" s="12">
        <v>1.9550000000000001</v>
      </c>
      <c r="G19" s="12">
        <v>1.8049999999999999</v>
      </c>
      <c r="H19" s="12">
        <v>1.6</v>
      </c>
      <c r="I19" s="12">
        <f t="shared" si="3"/>
        <v>1.7866666666666664</v>
      </c>
      <c r="K19" s="5">
        <v>44305</v>
      </c>
      <c r="L19" s="5">
        <v>44306</v>
      </c>
      <c r="M19" s="5">
        <v>44305</v>
      </c>
      <c r="O19">
        <v>54.5</v>
      </c>
      <c r="P19">
        <v>57</v>
      </c>
      <c r="Q19">
        <v>60</v>
      </c>
      <c r="S19">
        <f t="shared" si="4"/>
        <v>438.40470023658162</v>
      </c>
      <c r="T19">
        <f t="shared" si="0"/>
        <v>404.76751096011753</v>
      </c>
      <c r="U19">
        <f t="shared" si="0"/>
        <v>358.79668561561664</v>
      </c>
      <c r="W19">
        <f t="shared" si="5"/>
        <v>109</v>
      </c>
      <c r="X19">
        <f t="shared" si="1"/>
        <v>110</v>
      </c>
      <c r="Y19">
        <f t="shared" si="1"/>
        <v>109</v>
      </c>
      <c r="AA19">
        <f t="shared" si="6"/>
        <v>138.43</v>
      </c>
      <c r="AB19">
        <f t="shared" si="2"/>
        <v>144.78</v>
      </c>
      <c r="AC19">
        <f t="shared" si="2"/>
        <v>152.4</v>
      </c>
    </row>
    <row r="20" spans="1:29" ht="20" customHeight="1" x14ac:dyDescent="0.2">
      <c r="A20" t="s">
        <v>16</v>
      </c>
      <c r="B20" s="6">
        <v>2</v>
      </c>
      <c r="C20" s="4" t="s">
        <v>43</v>
      </c>
      <c r="D20" s="8" t="s">
        <v>64</v>
      </c>
      <c r="E20" s="9" t="s">
        <v>89</v>
      </c>
      <c r="F20" s="12">
        <v>1.865</v>
      </c>
      <c r="G20" s="12">
        <v>1.375</v>
      </c>
      <c r="H20" s="12">
        <v>1.1299999999999999</v>
      </c>
      <c r="I20" s="12">
        <f t="shared" si="3"/>
        <v>1.4566666666666668</v>
      </c>
      <c r="K20" s="5">
        <v>44305</v>
      </c>
      <c r="L20" s="5">
        <v>44305</v>
      </c>
      <c r="M20" s="5">
        <v>44305</v>
      </c>
      <c r="O20">
        <v>53</v>
      </c>
      <c r="P20">
        <v>52.5</v>
      </c>
      <c r="Q20">
        <v>59</v>
      </c>
      <c r="R20" t="s">
        <v>99</v>
      </c>
      <c r="S20">
        <f t="shared" si="4"/>
        <v>418.22238667070314</v>
      </c>
      <c r="T20">
        <f t="shared" si="0"/>
        <v>308.34090170092054</v>
      </c>
      <c r="U20">
        <f t="shared" si="0"/>
        <v>253.40015921602927</v>
      </c>
      <c r="W20">
        <f t="shared" si="5"/>
        <v>109</v>
      </c>
      <c r="X20">
        <f t="shared" si="1"/>
        <v>109</v>
      </c>
      <c r="Y20">
        <f t="shared" si="1"/>
        <v>109</v>
      </c>
      <c r="AA20">
        <f t="shared" si="6"/>
        <v>134.62</v>
      </c>
      <c r="AB20">
        <f t="shared" si="2"/>
        <v>133.35</v>
      </c>
      <c r="AC20">
        <f t="shared" si="2"/>
        <v>149.86000000000001</v>
      </c>
    </row>
    <row r="21" spans="1:29" ht="20" customHeight="1" x14ac:dyDescent="0.2">
      <c r="A21" t="s">
        <v>17</v>
      </c>
      <c r="B21" s="6" t="s">
        <v>37</v>
      </c>
      <c r="C21" s="4" t="s">
        <v>43</v>
      </c>
      <c r="D21" s="8" t="s">
        <v>65</v>
      </c>
      <c r="E21" s="9" t="s">
        <v>90</v>
      </c>
      <c r="F21" s="12">
        <v>1.585</v>
      </c>
      <c r="G21" s="12">
        <v>1.44</v>
      </c>
      <c r="H21" s="12">
        <v>1.1000000000000001</v>
      </c>
      <c r="I21" s="12">
        <f t="shared" si="3"/>
        <v>1.375</v>
      </c>
      <c r="K21" t="s">
        <v>97</v>
      </c>
      <c r="L21" t="s">
        <v>96</v>
      </c>
      <c r="M21" t="s">
        <v>96</v>
      </c>
      <c r="O21">
        <v>55</v>
      </c>
      <c r="P21">
        <v>55</v>
      </c>
      <c r="Q21">
        <v>62</v>
      </c>
      <c r="S21">
        <f t="shared" si="4"/>
        <v>355.43296668797024</v>
      </c>
      <c r="T21">
        <f t="shared" ref="T21:T27" si="7">(G21*1000)/4.45935</f>
        <v>322.91701705405501</v>
      </c>
      <c r="U21">
        <f t="shared" ref="U21:U27" si="8">(H21*1000)/4.45935</f>
        <v>246.67272136073646</v>
      </c>
      <c r="AA21">
        <f t="shared" si="6"/>
        <v>139.69999999999999</v>
      </c>
      <c r="AB21">
        <f t="shared" ref="AB21:AB27" si="9">P21*2.54</f>
        <v>139.69999999999999</v>
      </c>
      <c r="AC21">
        <f t="shared" ref="AC21:AC27" si="10">Q21*2.54</f>
        <v>157.47999999999999</v>
      </c>
    </row>
    <row r="22" spans="1:29" ht="20" customHeight="1" x14ac:dyDescent="0.2">
      <c r="A22" t="s">
        <v>18</v>
      </c>
      <c r="B22" s="6" t="s">
        <v>37</v>
      </c>
      <c r="C22" s="4" t="s">
        <v>43</v>
      </c>
      <c r="D22" s="8" t="s">
        <v>66</v>
      </c>
      <c r="E22" s="9" t="s">
        <v>91</v>
      </c>
      <c r="F22" s="12">
        <v>1.91</v>
      </c>
      <c r="G22" s="12">
        <v>1.115</v>
      </c>
      <c r="H22" s="12">
        <v>0.82499999999999996</v>
      </c>
      <c r="I22" s="12">
        <f t="shared" si="3"/>
        <v>1.2833333333333332</v>
      </c>
      <c r="K22" s="5">
        <v>44309</v>
      </c>
      <c r="L22" s="5">
        <v>44310</v>
      </c>
      <c r="M22" s="5">
        <v>44310</v>
      </c>
      <c r="O22">
        <v>57</v>
      </c>
      <c r="P22">
        <v>59</v>
      </c>
      <c r="Q22">
        <v>69</v>
      </c>
      <c r="S22">
        <f t="shared" si="4"/>
        <v>428.31354345364235</v>
      </c>
      <c r="T22">
        <f t="shared" si="7"/>
        <v>250.03644028838286</v>
      </c>
      <c r="U22">
        <f t="shared" si="8"/>
        <v>185.00454102055232</v>
      </c>
      <c r="W22">
        <f t="shared" si="5"/>
        <v>113</v>
      </c>
      <c r="X22">
        <f>L22-DATE(YEAR(L22),1,0)</f>
        <v>114</v>
      </c>
      <c r="Y22">
        <f>M22-DATE(YEAR(M22),1,0)</f>
        <v>114</v>
      </c>
      <c r="AA22">
        <f t="shared" si="6"/>
        <v>144.78</v>
      </c>
      <c r="AB22">
        <f t="shared" si="9"/>
        <v>149.86000000000001</v>
      </c>
      <c r="AC22">
        <f t="shared" si="10"/>
        <v>175.26</v>
      </c>
    </row>
    <row r="23" spans="1:29" ht="20" customHeight="1" x14ac:dyDescent="0.2">
      <c r="A23" t="s">
        <v>19</v>
      </c>
      <c r="B23" s="6" t="s">
        <v>37</v>
      </c>
      <c r="C23" s="4" t="s">
        <v>43</v>
      </c>
      <c r="D23" s="8" t="s">
        <v>67</v>
      </c>
      <c r="E23" s="9" t="s">
        <v>92</v>
      </c>
      <c r="F23" s="12">
        <v>1.68</v>
      </c>
      <c r="G23" s="12">
        <v>1.6950000000000001</v>
      </c>
      <c r="H23" s="12">
        <v>2.2349999999999999</v>
      </c>
      <c r="I23" s="12">
        <f t="shared" si="3"/>
        <v>1.8699999999999999</v>
      </c>
      <c r="K23" s="5">
        <v>44304</v>
      </c>
      <c r="L23" s="5">
        <v>44304</v>
      </c>
      <c r="M23" s="5">
        <v>44304</v>
      </c>
      <c r="O23">
        <v>52</v>
      </c>
      <c r="P23">
        <v>55</v>
      </c>
      <c r="Q23">
        <v>62</v>
      </c>
      <c r="S23">
        <f t="shared" si="4"/>
        <v>376.73651989639751</v>
      </c>
      <c r="T23">
        <f t="shared" si="7"/>
        <v>380.10023882404391</v>
      </c>
      <c r="U23">
        <f t="shared" si="8"/>
        <v>501.19412021931453</v>
      </c>
      <c r="W23">
        <f t="shared" si="5"/>
        <v>108</v>
      </c>
      <c r="X23">
        <f>L23-DATE(YEAR(L23),1,0)</f>
        <v>108</v>
      </c>
      <c r="Y23">
        <f>M23-DATE(YEAR(M23),1,0)</f>
        <v>108</v>
      </c>
      <c r="AA23">
        <f t="shared" si="6"/>
        <v>132.08000000000001</v>
      </c>
      <c r="AB23">
        <f t="shared" si="9"/>
        <v>139.69999999999999</v>
      </c>
      <c r="AC23">
        <f t="shared" si="10"/>
        <v>157.47999999999999</v>
      </c>
    </row>
    <row r="24" spans="1:29" ht="20" customHeight="1" x14ac:dyDescent="0.2">
      <c r="A24" t="s">
        <v>20</v>
      </c>
      <c r="B24" s="6" t="s">
        <v>37</v>
      </c>
      <c r="C24" s="4" t="s">
        <v>44</v>
      </c>
      <c r="D24" s="8" t="s">
        <v>68</v>
      </c>
      <c r="E24" s="9" t="s">
        <v>93</v>
      </c>
      <c r="F24" s="12">
        <v>1.76</v>
      </c>
      <c r="G24" s="12">
        <v>1.53</v>
      </c>
      <c r="H24" s="12">
        <v>2.4550000000000001</v>
      </c>
      <c r="I24" s="12">
        <f t="shared" si="3"/>
        <v>1.915</v>
      </c>
      <c r="K24" s="5">
        <v>44311</v>
      </c>
      <c r="L24" t="s">
        <v>96</v>
      </c>
      <c r="M24" t="s">
        <v>96</v>
      </c>
      <c r="O24">
        <v>46</v>
      </c>
      <c r="P24">
        <v>49</v>
      </c>
      <c r="Q24">
        <v>58</v>
      </c>
      <c r="S24">
        <f t="shared" si="4"/>
        <v>394.67635417717833</v>
      </c>
      <c r="T24">
        <f t="shared" si="7"/>
        <v>343.09933061993343</v>
      </c>
      <c r="U24">
        <f t="shared" si="8"/>
        <v>550.52866449146177</v>
      </c>
      <c r="W24">
        <f t="shared" si="5"/>
        <v>115</v>
      </c>
      <c r="AA24">
        <f t="shared" si="6"/>
        <v>116.84</v>
      </c>
      <c r="AB24">
        <f t="shared" si="9"/>
        <v>124.46000000000001</v>
      </c>
      <c r="AC24">
        <f t="shared" si="10"/>
        <v>147.32</v>
      </c>
    </row>
    <row r="25" spans="1:29" ht="20" customHeight="1" x14ac:dyDescent="0.2">
      <c r="A25" t="s">
        <v>21</v>
      </c>
      <c r="B25" s="6" t="s">
        <v>37</v>
      </c>
      <c r="C25" s="4" t="s">
        <v>44</v>
      </c>
      <c r="D25" s="8" t="s">
        <v>69</v>
      </c>
      <c r="E25" s="9" t="s">
        <v>94</v>
      </c>
      <c r="F25" s="12">
        <v>1.4650000000000001</v>
      </c>
      <c r="G25" s="12">
        <v>1.37</v>
      </c>
      <c r="H25" s="12">
        <v>1.44</v>
      </c>
      <c r="I25" s="12">
        <f t="shared" si="3"/>
        <v>1.425</v>
      </c>
      <c r="K25" s="5">
        <v>44310</v>
      </c>
      <c r="L25" s="5" t="s">
        <v>96</v>
      </c>
      <c r="M25" s="5" t="s">
        <v>96</v>
      </c>
      <c r="O25">
        <v>56.5</v>
      </c>
      <c r="P25">
        <v>55</v>
      </c>
      <c r="Q25">
        <v>64</v>
      </c>
      <c r="S25">
        <f t="shared" si="4"/>
        <v>328.52321526679901</v>
      </c>
      <c r="T25">
        <f t="shared" si="7"/>
        <v>307.21966205837174</v>
      </c>
      <c r="U25">
        <f t="shared" si="8"/>
        <v>322.91701705405501</v>
      </c>
      <c r="W25">
        <f t="shared" si="5"/>
        <v>114</v>
      </c>
      <c r="AA25">
        <f t="shared" si="6"/>
        <v>143.51</v>
      </c>
      <c r="AB25">
        <f t="shared" si="9"/>
        <v>139.69999999999999</v>
      </c>
      <c r="AC25">
        <f t="shared" si="10"/>
        <v>162.56</v>
      </c>
    </row>
    <row r="26" spans="1:29" ht="20" customHeight="1" x14ac:dyDescent="0.2">
      <c r="A26" t="s">
        <v>22</v>
      </c>
      <c r="B26" s="6" t="s">
        <v>37</v>
      </c>
      <c r="C26" s="4" t="s">
        <v>44</v>
      </c>
      <c r="D26" s="8" t="s">
        <v>70</v>
      </c>
      <c r="E26" s="9" t="s">
        <v>95</v>
      </c>
      <c r="F26" s="12">
        <v>1.79</v>
      </c>
      <c r="G26" s="12">
        <v>1.38</v>
      </c>
      <c r="H26" s="13">
        <v>1.5649999999999999</v>
      </c>
      <c r="I26" s="12">
        <f t="shared" si="3"/>
        <v>1.5783333333333331</v>
      </c>
      <c r="J26" s="14" t="s">
        <v>28</v>
      </c>
      <c r="K26" s="5">
        <v>44304</v>
      </c>
      <c r="L26" s="5">
        <v>44304</v>
      </c>
      <c r="M26" s="5">
        <v>44305</v>
      </c>
      <c r="O26">
        <v>52</v>
      </c>
      <c r="P26">
        <v>52</v>
      </c>
      <c r="Q26">
        <v>60</v>
      </c>
      <c r="S26">
        <f t="shared" si="4"/>
        <v>401.40379203247113</v>
      </c>
      <c r="T26">
        <f t="shared" si="7"/>
        <v>309.46214134346934</v>
      </c>
      <c r="U26">
        <f t="shared" si="8"/>
        <v>350.94800811777503</v>
      </c>
      <c r="W26">
        <f t="shared" si="5"/>
        <v>108</v>
      </c>
      <c r="X26">
        <f>L26-DATE(YEAR(L26),1,0)</f>
        <v>108</v>
      </c>
      <c r="Y26">
        <f>M26-DATE(YEAR(M26),1,0)</f>
        <v>109</v>
      </c>
      <c r="AA26">
        <f t="shared" si="6"/>
        <v>132.08000000000001</v>
      </c>
      <c r="AB26">
        <f t="shared" si="9"/>
        <v>132.08000000000001</v>
      </c>
      <c r="AC26">
        <f t="shared" si="10"/>
        <v>152.4</v>
      </c>
    </row>
    <row r="27" spans="1:29" ht="16" x14ac:dyDescent="0.2">
      <c r="A27" t="s">
        <v>31</v>
      </c>
      <c r="B27" s="6" t="s">
        <v>45</v>
      </c>
      <c r="F27">
        <v>2.0099999999999998</v>
      </c>
      <c r="G27">
        <v>2.74</v>
      </c>
      <c r="H27">
        <v>2.56</v>
      </c>
      <c r="I27" s="11">
        <f t="shared" ref="I27" si="11">AVERAGE(F27:H27)</f>
        <v>2.436666666666667</v>
      </c>
      <c r="K27" s="5">
        <v>44289</v>
      </c>
      <c r="L27" s="5">
        <v>44290</v>
      </c>
      <c r="M27" s="5">
        <v>44290</v>
      </c>
      <c r="O27">
        <v>36</v>
      </c>
      <c r="P27">
        <v>37</v>
      </c>
      <c r="Q27">
        <v>39</v>
      </c>
      <c r="S27">
        <f t="shared" si="4"/>
        <v>450.73833630461837</v>
      </c>
      <c r="T27">
        <f t="shared" si="7"/>
        <v>614.43932411674348</v>
      </c>
      <c r="U27">
        <f t="shared" si="8"/>
        <v>574.07469698498664</v>
      </c>
      <c r="W27">
        <f t="shared" si="5"/>
        <v>93</v>
      </c>
      <c r="X27">
        <f>L27-DATE(YEAR(L27),1,0)</f>
        <v>94</v>
      </c>
      <c r="Y27">
        <f>M27-DATE(YEAR(M27),1,0)</f>
        <v>94</v>
      </c>
      <c r="AA27">
        <f t="shared" si="6"/>
        <v>91.44</v>
      </c>
      <c r="AB27">
        <f t="shared" si="9"/>
        <v>93.98</v>
      </c>
      <c r="AC27">
        <f t="shared" si="10"/>
        <v>99.06</v>
      </c>
    </row>
    <row r="29" spans="1:29" ht="17" x14ac:dyDescent="0.2">
      <c r="A29" s="17" t="s">
        <v>71</v>
      </c>
      <c r="B29" s="17"/>
      <c r="C29" s="17"/>
      <c r="D29" s="17"/>
    </row>
    <row r="31" spans="1:29" ht="17" x14ac:dyDescent="0.2">
      <c r="A31" t="s">
        <v>98</v>
      </c>
    </row>
    <row r="38" spans="14:14" x14ac:dyDescent="0.2">
      <c r="N38" t="s">
        <v>26</v>
      </c>
    </row>
  </sheetData>
  <mergeCells count="8">
    <mergeCell ref="A29:D29"/>
    <mergeCell ref="W2:Y2"/>
    <mergeCell ref="AA2:AC2"/>
    <mergeCell ref="S2:U2"/>
    <mergeCell ref="A1:G1"/>
    <mergeCell ref="F2:H2"/>
    <mergeCell ref="K2:M2"/>
    <mergeCell ref="O2:Q2"/>
  </mergeCells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Alicia del Blanco</dc:creator>
  <cp:lastModifiedBy>David James Waring</cp:lastModifiedBy>
  <cp:lastPrinted>2021-06-04T18:11:48Z</cp:lastPrinted>
  <dcterms:created xsi:type="dcterms:W3CDTF">2021-06-04T18:04:15Z</dcterms:created>
  <dcterms:modified xsi:type="dcterms:W3CDTF">2022-01-27T16:43:35Z</dcterms:modified>
</cp:coreProperties>
</file>