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rulin\Dropbox\2022_23 Nurseries\2022 UOPN\"/>
    </mc:Choice>
  </mc:AlternateContent>
  <xr:revisionPtr revIDLastSave="0" documentId="13_ncr:1_{1E9D8C55-3098-4F37-A896-4A81F08C6D7E}" xr6:coauthVersionLast="36" xr6:coauthVersionMax="36" xr10:uidLastSave="{00000000-0000-0000-0000-000000000000}"/>
  <bookViews>
    <workbookView xWindow="0" yWindow="0" windowWidth="14390" windowHeight="4070" xr2:uid="{106DD312-D444-4980-8F2B-AE2FCE29E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1" i="1" l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<sst xmlns="http://schemas.openxmlformats.org/spreadsheetml/2006/main" count="83" uniqueCount="48">
  <si>
    <t>kg/ha</t>
  </si>
  <si>
    <t>Heading</t>
  </si>
  <si>
    <t>Avg.</t>
  </si>
  <si>
    <t>Rank</t>
  </si>
  <si>
    <t>Entry</t>
  </si>
  <si>
    <t>Variety/Selection</t>
  </si>
  <si>
    <t>Date Mean</t>
  </si>
  <si>
    <t>Kg/plot</t>
  </si>
  <si>
    <t>Kg/ha</t>
  </si>
  <si>
    <t>IL15-5271</t>
    <phoneticPr fontId="0" type="noConversion"/>
  </si>
  <si>
    <t>MONTEZUMA</t>
  </si>
  <si>
    <t>IL15-5752</t>
    <phoneticPr fontId="0" type="noConversion"/>
  </si>
  <si>
    <t>IL17-7334</t>
  </si>
  <si>
    <t>A513</t>
  </si>
  <si>
    <t>IL17-5238</t>
  </si>
  <si>
    <t>DON (ck)</t>
    <phoneticPr fontId="0" type="noConversion"/>
  </si>
  <si>
    <t>SD190323</t>
  </si>
  <si>
    <t>CLINTFORD (ck)</t>
    <phoneticPr fontId="0" type="noConversion"/>
  </si>
  <si>
    <t>A10</t>
  </si>
  <si>
    <t>A25</t>
  </si>
  <si>
    <t>SD190992</t>
  </si>
  <si>
    <t>A11</t>
  </si>
  <si>
    <t>WIX10677-3</t>
    <phoneticPr fontId="0" type="noConversion"/>
  </si>
  <si>
    <t>SD191467</t>
  </si>
  <si>
    <t>A516</t>
  </si>
  <si>
    <t>MNB71020-1</t>
  </si>
  <si>
    <t>MN18015X_004</t>
    <phoneticPr fontId="0" type="noConversion"/>
  </si>
  <si>
    <t>MN18057X_007</t>
    <phoneticPr fontId="0" type="noConversion"/>
  </si>
  <si>
    <t>KAME (ck)</t>
    <phoneticPr fontId="0" type="noConversion"/>
  </si>
  <si>
    <t>MN18048X_005</t>
  </si>
  <si>
    <t>MN19104X_016</t>
  </si>
  <si>
    <t>A101</t>
  </si>
  <si>
    <t>NATTY (ck)</t>
    <phoneticPr fontId="0" type="noConversion"/>
  </si>
  <si>
    <t>SD181377</t>
    <phoneticPr fontId="0" type="noConversion"/>
  </si>
  <si>
    <t>SD190850</t>
  </si>
  <si>
    <t>SD191508</t>
  </si>
  <si>
    <t>WIX10680-3</t>
  </si>
  <si>
    <t>TAURA</t>
  </si>
  <si>
    <t>Plant Height</t>
  </si>
  <si>
    <t>(inches) Mean</t>
  </si>
  <si>
    <t>G. yield</t>
  </si>
  <si>
    <t>Protein %</t>
  </si>
  <si>
    <t>Dry Basis</t>
  </si>
  <si>
    <t>test weight</t>
  </si>
  <si>
    <t>lb./bu.</t>
  </si>
  <si>
    <t>Fiber %</t>
  </si>
  <si>
    <t>Fat %</t>
  </si>
  <si>
    <t>Mean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</si>
</sst>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/>
    <xf numFmtId="16" fontId="0" fillId="0" borderId="0" xfId="0" applyNumberFormat="1" applyBorder="1" applyAlignment="1">
      <alignment horizontal="center"/>
    </xf>
    <xf numFmtId="0" fontId="1" fillId="0" borderId="0" xfId="0" applyFont="1" applyFill="1" applyBorder="1" applyProtection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Border="1"/>
    <xf numFmtId="0" fontId="0" fillId="0" borderId="0" xfId="0" applyFont="1" applyFill="1" applyBorder="1"/>
    <xf numFmtId="0" fontId="2" fillId="0" borderId="0" xfId="0" applyFont="1" applyBorder="1"/>
    <xf numFmtId="0" fontId="2" fillId="0" borderId="0" xfId="0" applyFont="1" applyFill="1" applyBorder="1" applyProtection="1"/>
    <xf numFmtId="16" fontId="0" fillId="0" borderId="0" xfId="0" applyNumberForma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1" fontId="0" fillId="0" borderId="0" xfId="0" applyNumberFormat="1" applyFill="1" applyAlignment="1">
      <alignment horizontal="center"/>
    </xf>
    <xf numFmtId="16" fontId="0" fillId="0" borderId="0" xfId="0" applyNumberFormat="1" applyFill="1" applyBorder="1" applyAlignment="1">
      <alignment horizontal="center"/>
    </xf>
    <xf numFmtId="2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6" fillId="0" borderId="0" xfId="0" applyFont="1" applyAlignment="1">
      <alignment horizontal="center"/>
    </xf>
    <xf numFmtId="0" fontId="0" fillId="2" borderId="0" xfId="0" applyFont="1" applyFill="1" applyBorder="1"/>
    <xf numFmtId="2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B4EA-8DEB-44E8-987A-CD28AFD4324B}">
  <dimension ref="A1:T33"/>
  <sheetViews>
    <sheetView tabSelected="1" workbookViewId="0">
      <selection activeCell="E32" sqref="E32"/>
    </sheetView>
  </sheetViews>
  <sheetFormatPr defaultRowHeight="14.5" x14ac:dyDescent="0.35"/>
  <cols>
    <col min="1" max="1" width="5.26953125" customWidth="1"/>
    <col min="2" max="2" width="20.81640625" customWidth="1"/>
    <col min="3" max="3" width="7.7265625" style="20" customWidth="1"/>
    <col min="5" max="5" width="10.26953125" style="1" customWidth="1"/>
    <col min="6" max="6" width="7.6328125" style="19" customWidth="1"/>
    <col min="7" max="7" width="7" style="19" customWidth="1"/>
    <col min="8" max="8" width="8.1796875" style="19" customWidth="1"/>
    <col min="9" max="9" width="6.54296875" style="1" customWidth="1"/>
    <col min="10" max="10" width="4.81640625" style="20" customWidth="1"/>
    <col min="11" max="11" width="3.1796875" style="20" customWidth="1"/>
    <col min="13" max="13" width="15" customWidth="1"/>
    <col min="14" max="14" width="8.54296875" customWidth="1"/>
    <col min="15" max="15" width="8" customWidth="1"/>
    <col min="16" max="16" width="7.453125" style="1" customWidth="1"/>
  </cols>
  <sheetData>
    <row r="1" spans="1:20" x14ac:dyDescent="0.35">
      <c r="C1" s="28" t="s">
        <v>47</v>
      </c>
      <c r="D1" s="14" t="s">
        <v>1</v>
      </c>
      <c r="E1" s="14" t="s">
        <v>38</v>
      </c>
      <c r="F1" s="28" t="s">
        <v>43</v>
      </c>
      <c r="G1" s="14" t="s">
        <v>41</v>
      </c>
      <c r="H1" s="14" t="s">
        <v>45</v>
      </c>
      <c r="I1" s="14" t="s">
        <v>46</v>
      </c>
      <c r="J1" s="14"/>
      <c r="K1" s="14"/>
      <c r="L1" s="22" t="s">
        <v>3</v>
      </c>
      <c r="M1" s="22"/>
      <c r="N1" s="1" t="s">
        <v>2</v>
      </c>
      <c r="O1" s="1" t="s">
        <v>2</v>
      </c>
      <c r="P1" s="1" t="s">
        <v>3</v>
      </c>
      <c r="Q1" s="1"/>
    </row>
    <row r="2" spans="1:20" x14ac:dyDescent="0.35">
      <c r="A2" t="s">
        <v>4</v>
      </c>
      <c r="B2" t="s">
        <v>5</v>
      </c>
      <c r="C2" s="16" t="s">
        <v>0</v>
      </c>
      <c r="D2" s="17" t="s">
        <v>6</v>
      </c>
      <c r="E2" s="15" t="s">
        <v>39</v>
      </c>
      <c r="F2" s="28" t="s">
        <v>44</v>
      </c>
      <c r="G2" s="15" t="s">
        <v>42</v>
      </c>
      <c r="H2" s="15" t="s">
        <v>42</v>
      </c>
      <c r="I2" s="15" t="s">
        <v>42</v>
      </c>
      <c r="J2" s="15"/>
      <c r="K2" s="15"/>
      <c r="L2" s="1" t="s">
        <v>4</v>
      </c>
      <c r="M2" s="18" t="s">
        <v>5</v>
      </c>
      <c r="N2" s="2" t="s">
        <v>7</v>
      </c>
      <c r="O2" s="2" t="s">
        <v>8</v>
      </c>
      <c r="P2" s="1" t="s">
        <v>40</v>
      </c>
      <c r="Q2" s="2"/>
    </row>
    <row r="3" spans="1:20" x14ac:dyDescent="0.35">
      <c r="A3">
        <v>1</v>
      </c>
      <c r="B3" s="3" t="s">
        <v>9</v>
      </c>
      <c r="C3" s="7">
        <v>5119.9999999999991</v>
      </c>
      <c r="D3" s="4">
        <v>45050</v>
      </c>
      <c r="E3" s="7">
        <v>45.5</v>
      </c>
      <c r="F3" s="7">
        <v>41.543040000000005</v>
      </c>
      <c r="G3" s="6">
        <v>11.85</v>
      </c>
      <c r="H3" s="21">
        <v>13</v>
      </c>
      <c r="I3" s="6">
        <v>5.53</v>
      </c>
      <c r="J3" s="6"/>
      <c r="K3" s="6"/>
      <c r="L3" s="1">
        <v>29</v>
      </c>
      <c r="M3" s="5" t="s">
        <v>10</v>
      </c>
      <c r="N3" s="6">
        <v>3.0024999999999995</v>
      </c>
      <c r="O3" s="7">
        <f>N3*10000/5</f>
        <v>6004.9999999999991</v>
      </c>
      <c r="P3" s="1">
        <v>1</v>
      </c>
      <c r="R3" s="8"/>
    </row>
    <row r="4" spans="1:20" x14ac:dyDescent="0.35">
      <c r="A4">
        <v>2</v>
      </c>
      <c r="B4" s="3" t="s">
        <v>11</v>
      </c>
      <c r="C4" s="7">
        <v>5655</v>
      </c>
      <c r="D4" s="4">
        <v>45050</v>
      </c>
      <c r="E4" s="7">
        <v>46.125</v>
      </c>
      <c r="F4" s="7">
        <v>44.070399999999999</v>
      </c>
      <c r="G4" s="6">
        <v>10.18</v>
      </c>
      <c r="H4" s="21">
        <v>13.5</v>
      </c>
      <c r="I4" s="6">
        <v>4.9400000000000004</v>
      </c>
      <c r="J4" s="6"/>
      <c r="K4" s="6"/>
      <c r="L4" s="1">
        <v>3</v>
      </c>
      <c r="M4" s="9" t="s">
        <v>12</v>
      </c>
      <c r="N4" s="6">
        <v>2.9966666666666666</v>
      </c>
      <c r="O4" s="7">
        <f t="shared" ref="O4:O31" si="0">N4*10000/5</f>
        <v>5993.333333333333</v>
      </c>
      <c r="P4" s="1">
        <v>2</v>
      </c>
      <c r="Q4" s="8"/>
      <c r="R4" s="8"/>
      <c r="T4" s="3"/>
    </row>
    <row r="5" spans="1:20" x14ac:dyDescent="0.35">
      <c r="A5">
        <v>3</v>
      </c>
      <c r="B5" s="9" t="s">
        <v>12</v>
      </c>
      <c r="C5" s="7">
        <v>5993.333333333333</v>
      </c>
      <c r="D5" s="4">
        <v>45051</v>
      </c>
      <c r="E5" s="7">
        <v>41.166666666666664</v>
      </c>
      <c r="F5" s="7">
        <v>40.128</v>
      </c>
      <c r="G5" s="6">
        <v>11.12</v>
      </c>
      <c r="H5" s="21">
        <v>13.1</v>
      </c>
      <c r="I5" s="6">
        <v>5.32</v>
      </c>
      <c r="J5" s="6"/>
      <c r="K5" s="6"/>
      <c r="L5" s="1">
        <v>10</v>
      </c>
      <c r="M5" s="29" t="s">
        <v>13</v>
      </c>
      <c r="N5" s="30">
        <v>2.9333333333333331</v>
      </c>
      <c r="O5" s="31">
        <f t="shared" si="0"/>
        <v>5866.6666666666661</v>
      </c>
      <c r="P5" s="32">
        <v>3</v>
      </c>
      <c r="Q5" s="8"/>
      <c r="R5" s="8"/>
      <c r="T5" s="3"/>
    </row>
    <row r="6" spans="1:20" x14ac:dyDescent="0.35">
      <c r="A6">
        <v>4</v>
      </c>
      <c r="B6" s="9" t="s">
        <v>14</v>
      </c>
      <c r="C6" s="7">
        <v>5433.3333333333339</v>
      </c>
      <c r="D6" s="4">
        <v>45051</v>
      </c>
      <c r="E6" s="7">
        <v>44.666666666666664</v>
      </c>
      <c r="F6" s="7">
        <v>42.310400000000001</v>
      </c>
      <c r="G6" s="6">
        <v>8.75</v>
      </c>
      <c r="H6" s="21">
        <v>12.2</v>
      </c>
      <c r="I6" s="6">
        <v>6.63</v>
      </c>
      <c r="J6" s="6"/>
      <c r="K6" s="6"/>
      <c r="L6" s="1">
        <v>2</v>
      </c>
      <c r="M6" s="3" t="s">
        <v>11</v>
      </c>
      <c r="N6" s="6">
        <v>2.8275000000000001</v>
      </c>
      <c r="O6" s="7">
        <f t="shared" si="0"/>
        <v>5655</v>
      </c>
      <c r="P6" s="1">
        <v>4</v>
      </c>
      <c r="Q6" s="8"/>
      <c r="R6" s="8"/>
      <c r="T6" s="3"/>
    </row>
    <row r="7" spans="1:20" x14ac:dyDescent="0.35">
      <c r="A7">
        <v>5</v>
      </c>
      <c r="B7" s="11" t="s">
        <v>15</v>
      </c>
      <c r="C7" s="7">
        <v>3795</v>
      </c>
      <c r="D7" s="4">
        <v>45050</v>
      </c>
      <c r="E7" s="7">
        <v>41.25</v>
      </c>
      <c r="F7" s="7">
        <v>42.4512</v>
      </c>
      <c r="G7" s="6">
        <v>9.9499999999999993</v>
      </c>
      <c r="H7" s="21">
        <v>13.5</v>
      </c>
      <c r="I7" s="6">
        <v>5.81</v>
      </c>
      <c r="J7" s="6"/>
      <c r="K7" s="6"/>
      <c r="L7" s="1">
        <v>19</v>
      </c>
      <c r="M7" s="9" t="s">
        <v>16</v>
      </c>
      <c r="N7" s="6">
        <v>2.8224999999999998</v>
      </c>
      <c r="O7" s="7">
        <f t="shared" si="0"/>
        <v>5644.9999999999991</v>
      </c>
      <c r="P7" s="1">
        <v>5</v>
      </c>
      <c r="Q7" s="8"/>
      <c r="R7" s="8"/>
      <c r="T7" s="3"/>
    </row>
    <row r="8" spans="1:20" x14ac:dyDescent="0.35">
      <c r="A8">
        <v>6</v>
      </c>
      <c r="B8" s="11" t="s">
        <v>17</v>
      </c>
      <c r="C8" s="7">
        <v>4995</v>
      </c>
      <c r="D8" s="4">
        <v>45050</v>
      </c>
      <c r="E8" s="7">
        <v>43</v>
      </c>
      <c r="F8" s="7">
        <v>38.156800000000004</v>
      </c>
      <c r="G8" s="6">
        <v>10.49</v>
      </c>
      <c r="H8" s="21">
        <v>11.6</v>
      </c>
      <c r="I8" s="6">
        <v>6.37</v>
      </c>
      <c r="J8" s="6"/>
      <c r="K8" s="6"/>
      <c r="L8" s="1">
        <v>8</v>
      </c>
      <c r="M8" s="29" t="s">
        <v>18</v>
      </c>
      <c r="N8" s="30">
        <v>2.77</v>
      </c>
      <c r="O8" s="31">
        <f t="shared" si="0"/>
        <v>5540</v>
      </c>
      <c r="P8" s="32">
        <v>6</v>
      </c>
      <c r="Q8" s="8"/>
      <c r="R8" s="8"/>
    </row>
    <row r="9" spans="1:20" s="23" customFormat="1" x14ac:dyDescent="0.35">
      <c r="A9" s="23">
        <v>7</v>
      </c>
      <c r="B9" s="10" t="s">
        <v>19</v>
      </c>
      <c r="C9" s="24">
        <v>3490</v>
      </c>
      <c r="D9" s="25">
        <v>45041</v>
      </c>
      <c r="E9" s="24">
        <v>48</v>
      </c>
      <c r="F9" s="24">
        <v>41.043200000000006</v>
      </c>
      <c r="G9" s="26">
        <v>10.8</v>
      </c>
      <c r="H9" s="27">
        <v>13.4</v>
      </c>
      <c r="I9" s="26">
        <v>7.22</v>
      </c>
      <c r="J9" s="26"/>
      <c r="K9" s="26"/>
      <c r="L9" s="8">
        <v>4</v>
      </c>
      <c r="M9" s="9" t="s">
        <v>14</v>
      </c>
      <c r="N9" s="26">
        <v>2.7166666666666668</v>
      </c>
      <c r="O9" s="24">
        <f t="shared" si="0"/>
        <v>5433.3333333333339</v>
      </c>
      <c r="P9" s="8">
        <v>7</v>
      </c>
      <c r="Q9" s="8"/>
      <c r="R9" s="8"/>
      <c r="T9" s="3"/>
    </row>
    <row r="10" spans="1:20" s="23" customFormat="1" x14ac:dyDescent="0.35">
      <c r="A10" s="23">
        <v>8</v>
      </c>
      <c r="B10" s="10" t="s">
        <v>18</v>
      </c>
      <c r="C10" s="24">
        <v>5540</v>
      </c>
      <c r="D10" s="25">
        <v>45042</v>
      </c>
      <c r="E10" s="24">
        <v>37</v>
      </c>
      <c r="F10" s="24">
        <v>41.958400000000005</v>
      </c>
      <c r="G10" s="26">
        <v>10.119999999999999</v>
      </c>
      <c r="H10" s="27">
        <v>10.6</v>
      </c>
      <c r="I10" s="26">
        <v>7.08</v>
      </c>
      <c r="J10" s="26"/>
      <c r="K10" s="26"/>
      <c r="L10" s="8">
        <v>20</v>
      </c>
      <c r="M10" s="9" t="s">
        <v>20</v>
      </c>
      <c r="N10" s="26">
        <v>2.7</v>
      </c>
      <c r="O10" s="24">
        <f t="shared" si="0"/>
        <v>5400</v>
      </c>
      <c r="P10" s="8">
        <v>8</v>
      </c>
      <c r="Q10" s="8"/>
      <c r="R10" s="8"/>
      <c r="T10" s="3"/>
    </row>
    <row r="11" spans="1:20" s="23" customFormat="1" x14ac:dyDescent="0.35">
      <c r="A11" s="23">
        <v>9</v>
      </c>
      <c r="B11" s="10" t="s">
        <v>21</v>
      </c>
      <c r="C11" s="24">
        <v>3993.3333333333335</v>
      </c>
      <c r="D11" s="25">
        <v>45049</v>
      </c>
      <c r="E11" s="24">
        <v>36</v>
      </c>
      <c r="F11" s="24">
        <v>42.732800000000005</v>
      </c>
      <c r="G11" s="26">
        <v>11.09</v>
      </c>
      <c r="H11" s="27">
        <v>12.8</v>
      </c>
      <c r="I11" s="26">
        <v>6.48</v>
      </c>
      <c r="J11" s="26"/>
      <c r="K11" s="26"/>
      <c r="L11" s="8">
        <v>24</v>
      </c>
      <c r="M11" s="12" t="s">
        <v>22</v>
      </c>
      <c r="N11" s="26">
        <v>2.6799999999999997</v>
      </c>
      <c r="O11" s="24">
        <f t="shared" si="0"/>
        <v>5359.9999999999991</v>
      </c>
      <c r="P11" s="8">
        <v>9</v>
      </c>
      <c r="Q11" s="8"/>
      <c r="R11" s="8"/>
      <c r="T11" s="9"/>
    </row>
    <row r="12" spans="1:20" s="23" customFormat="1" x14ac:dyDescent="0.35">
      <c r="A12" s="23">
        <v>10</v>
      </c>
      <c r="B12" s="10" t="s">
        <v>13</v>
      </c>
      <c r="C12" s="24">
        <v>5866.6666666666661</v>
      </c>
      <c r="D12" s="25">
        <v>45049</v>
      </c>
      <c r="E12" s="24">
        <v>38.125</v>
      </c>
      <c r="F12" s="24">
        <v>39.212800000000001</v>
      </c>
      <c r="G12" s="26">
        <v>8.8699999999999992</v>
      </c>
      <c r="H12" s="27">
        <v>12.5</v>
      </c>
      <c r="I12" s="26">
        <v>6.32</v>
      </c>
      <c r="J12" s="26"/>
      <c r="K12" s="26"/>
      <c r="L12" s="8">
        <v>21</v>
      </c>
      <c r="M12" s="9" t="s">
        <v>23</v>
      </c>
      <c r="N12" s="26">
        <v>2.6633333333333331</v>
      </c>
      <c r="O12" s="24">
        <f t="shared" si="0"/>
        <v>5326.6666666666661</v>
      </c>
      <c r="P12" s="8">
        <v>10</v>
      </c>
      <c r="Q12" s="8"/>
      <c r="R12" s="8"/>
    </row>
    <row r="13" spans="1:20" s="23" customFormat="1" x14ac:dyDescent="0.35">
      <c r="A13" s="23">
        <v>11</v>
      </c>
      <c r="B13" s="10" t="s">
        <v>24</v>
      </c>
      <c r="C13" s="24">
        <v>4350</v>
      </c>
      <c r="D13" s="25">
        <v>45044</v>
      </c>
      <c r="E13" s="24">
        <v>39.375</v>
      </c>
      <c r="F13" s="24">
        <v>42.732800000000005</v>
      </c>
      <c r="G13" s="26">
        <v>10.16</v>
      </c>
      <c r="H13" s="27">
        <v>10.07</v>
      </c>
      <c r="I13" s="26">
        <v>6.82</v>
      </c>
      <c r="J13" s="26"/>
      <c r="K13" s="26"/>
      <c r="L13" s="8">
        <v>27</v>
      </c>
      <c r="M13" s="5" t="s">
        <v>25</v>
      </c>
      <c r="N13" s="26">
        <v>2.6574999999999998</v>
      </c>
      <c r="O13" s="24">
        <f t="shared" si="0"/>
        <v>5314.9999999999991</v>
      </c>
      <c r="P13" s="8">
        <v>11</v>
      </c>
      <c r="Q13" s="8"/>
      <c r="R13" s="8"/>
      <c r="T13" s="9"/>
    </row>
    <row r="14" spans="1:20" x14ac:dyDescent="0.35">
      <c r="A14">
        <v>12</v>
      </c>
      <c r="B14" s="3" t="s">
        <v>26</v>
      </c>
      <c r="C14" s="7">
        <v>3975</v>
      </c>
      <c r="D14" s="4">
        <v>45050</v>
      </c>
      <c r="E14" s="7">
        <v>43.5</v>
      </c>
      <c r="F14" s="7">
        <v>42.592000000000006</v>
      </c>
      <c r="G14" s="6">
        <v>10.9</v>
      </c>
      <c r="H14" s="21">
        <v>12.01</v>
      </c>
      <c r="I14" s="6">
        <v>6.64</v>
      </c>
      <c r="J14" s="6"/>
      <c r="K14" s="6"/>
      <c r="L14" s="1">
        <v>1</v>
      </c>
      <c r="M14" s="3" t="s">
        <v>9</v>
      </c>
      <c r="N14" s="6">
        <v>2.5599999999999996</v>
      </c>
      <c r="O14" s="7">
        <f t="shared" si="0"/>
        <v>5119.9999999999991</v>
      </c>
      <c r="P14" s="1">
        <v>12</v>
      </c>
      <c r="Q14" s="8"/>
      <c r="R14" s="8"/>
      <c r="T14" s="9"/>
    </row>
    <row r="15" spans="1:20" x14ac:dyDescent="0.35">
      <c r="A15">
        <v>13</v>
      </c>
      <c r="B15" s="3" t="s">
        <v>27</v>
      </c>
      <c r="C15" s="7">
        <v>3840</v>
      </c>
      <c r="D15" s="4">
        <v>45050</v>
      </c>
      <c r="E15" s="7">
        <v>42.75</v>
      </c>
      <c r="F15" s="7">
        <v>41.747199999999999</v>
      </c>
      <c r="G15" s="6">
        <v>9.74</v>
      </c>
      <c r="H15" s="21">
        <v>13.2</v>
      </c>
      <c r="I15" s="6">
        <v>4.54</v>
      </c>
      <c r="J15" s="6"/>
      <c r="K15" s="6"/>
      <c r="L15" s="1">
        <v>23</v>
      </c>
      <c r="M15" s="11" t="s">
        <v>28</v>
      </c>
      <c r="N15" s="6">
        <v>2.52</v>
      </c>
      <c r="O15" s="7">
        <f t="shared" si="0"/>
        <v>5040</v>
      </c>
      <c r="P15" s="1">
        <v>13</v>
      </c>
      <c r="Q15" s="8"/>
      <c r="R15" s="8"/>
      <c r="T15" s="9"/>
    </row>
    <row r="16" spans="1:20" x14ac:dyDescent="0.35">
      <c r="A16">
        <v>14</v>
      </c>
      <c r="B16" s="9" t="s">
        <v>29</v>
      </c>
      <c r="C16" s="7">
        <v>4765.0000000000009</v>
      </c>
      <c r="D16" s="4">
        <v>45052</v>
      </c>
      <c r="E16" s="7">
        <v>49.75</v>
      </c>
      <c r="F16" s="7">
        <v>38.086400000000005</v>
      </c>
      <c r="G16" s="6">
        <v>10.52</v>
      </c>
      <c r="H16" s="21">
        <v>14.07</v>
      </c>
      <c r="I16" s="6">
        <v>6.09</v>
      </c>
      <c r="J16" s="6"/>
      <c r="K16" s="6"/>
      <c r="L16" s="1">
        <v>6</v>
      </c>
      <c r="M16" s="11" t="s">
        <v>17</v>
      </c>
      <c r="N16" s="6">
        <v>2.4975000000000001</v>
      </c>
      <c r="O16" s="7">
        <f t="shared" si="0"/>
        <v>4995</v>
      </c>
      <c r="P16" s="1">
        <v>14</v>
      </c>
      <c r="Q16" s="8"/>
      <c r="R16" s="8"/>
    </row>
    <row r="17" spans="1:20" x14ac:dyDescent="0.35">
      <c r="A17">
        <v>15</v>
      </c>
      <c r="B17" s="9" t="s">
        <v>30</v>
      </c>
      <c r="C17" s="7">
        <v>3666.6666666666665</v>
      </c>
      <c r="D17" s="4">
        <v>45055</v>
      </c>
      <c r="E17" s="7">
        <v>39.75</v>
      </c>
      <c r="F17" s="7">
        <v>42.099200000000003</v>
      </c>
      <c r="G17" s="6">
        <v>10.26</v>
      </c>
      <c r="H17" s="21">
        <v>12</v>
      </c>
      <c r="I17" s="6">
        <v>5.76</v>
      </c>
      <c r="J17" s="6"/>
      <c r="K17" s="6"/>
      <c r="L17" s="1">
        <v>26</v>
      </c>
      <c r="M17" s="33" t="s">
        <v>31</v>
      </c>
      <c r="N17" s="30">
        <v>2.4750000000000001</v>
      </c>
      <c r="O17" s="31">
        <f t="shared" si="0"/>
        <v>4950</v>
      </c>
      <c r="P17" s="32">
        <v>15</v>
      </c>
      <c r="Q17" s="8"/>
      <c r="R17" s="8"/>
      <c r="T17" s="9"/>
    </row>
    <row r="18" spans="1:20" x14ac:dyDescent="0.35">
      <c r="A18">
        <v>16</v>
      </c>
      <c r="B18" s="3" t="s">
        <v>32</v>
      </c>
      <c r="C18" s="7">
        <v>4919.9999999999991</v>
      </c>
      <c r="D18" s="4">
        <v>45045</v>
      </c>
      <c r="E18" s="7">
        <v>50.333333333333336</v>
      </c>
      <c r="F18" s="7">
        <v>43.788800000000002</v>
      </c>
      <c r="G18" s="6">
        <v>10.27</v>
      </c>
      <c r="H18" s="21">
        <v>13.2</v>
      </c>
      <c r="I18" s="6">
        <v>3.2</v>
      </c>
      <c r="J18" s="6"/>
      <c r="K18" s="6"/>
      <c r="L18" s="1">
        <v>16</v>
      </c>
      <c r="M18" s="3" t="s">
        <v>32</v>
      </c>
      <c r="N18" s="6">
        <v>2.4599999999999995</v>
      </c>
      <c r="O18" s="7">
        <f t="shared" si="0"/>
        <v>4919.9999999999991</v>
      </c>
      <c r="P18" s="1">
        <v>16</v>
      </c>
      <c r="Q18" s="8"/>
      <c r="R18" s="8"/>
      <c r="T18" s="9"/>
    </row>
    <row r="19" spans="1:20" x14ac:dyDescent="0.35">
      <c r="A19">
        <v>17</v>
      </c>
      <c r="B19" s="3" t="s">
        <v>33</v>
      </c>
      <c r="C19" s="7">
        <v>4800</v>
      </c>
      <c r="D19" s="4">
        <v>45054</v>
      </c>
      <c r="E19" s="7">
        <v>49</v>
      </c>
      <c r="F19" s="7">
        <v>41.958400000000005</v>
      </c>
      <c r="G19" s="6">
        <v>9.32</v>
      </c>
      <c r="H19" s="21">
        <v>13.3</v>
      </c>
      <c r="I19" s="6">
        <v>6.97</v>
      </c>
      <c r="J19" s="6"/>
      <c r="K19" s="6"/>
      <c r="L19" s="1">
        <v>18</v>
      </c>
      <c r="M19" s="9" t="s">
        <v>34</v>
      </c>
      <c r="N19" s="6">
        <v>2.4024999999999999</v>
      </c>
      <c r="O19" s="7">
        <f t="shared" si="0"/>
        <v>4805</v>
      </c>
      <c r="P19" s="1">
        <v>17</v>
      </c>
      <c r="Q19" s="8"/>
      <c r="R19" s="8"/>
      <c r="T19" s="3"/>
    </row>
    <row r="20" spans="1:20" x14ac:dyDescent="0.35">
      <c r="A20">
        <v>18</v>
      </c>
      <c r="B20" s="9" t="s">
        <v>34</v>
      </c>
      <c r="C20" s="7">
        <v>4805</v>
      </c>
      <c r="D20" s="4">
        <v>45050</v>
      </c>
      <c r="E20" s="7">
        <v>54.25</v>
      </c>
      <c r="F20" s="7">
        <v>44.140800000000006</v>
      </c>
      <c r="G20" s="6">
        <v>9.8000000000000007</v>
      </c>
      <c r="H20" s="21">
        <v>13.2</v>
      </c>
      <c r="I20" s="6">
        <v>4.37</v>
      </c>
      <c r="J20" s="6"/>
      <c r="K20" s="6"/>
      <c r="L20" s="1">
        <v>17</v>
      </c>
      <c r="M20" s="3" t="s">
        <v>33</v>
      </c>
      <c r="N20" s="6">
        <v>2.4</v>
      </c>
      <c r="O20" s="7">
        <f t="shared" si="0"/>
        <v>4800</v>
      </c>
      <c r="P20" s="1">
        <v>18</v>
      </c>
      <c r="Q20" s="8"/>
      <c r="R20" s="8"/>
    </row>
    <row r="21" spans="1:20" x14ac:dyDescent="0.35">
      <c r="A21">
        <v>19</v>
      </c>
      <c r="B21" s="9" t="s">
        <v>16</v>
      </c>
      <c r="C21" s="7">
        <v>5644.9999999999991</v>
      </c>
      <c r="D21" s="4">
        <v>45054</v>
      </c>
      <c r="E21" s="7">
        <v>48.25</v>
      </c>
      <c r="F21" s="7">
        <v>42.521599999999999</v>
      </c>
      <c r="G21" s="6">
        <v>9.08</v>
      </c>
      <c r="H21" s="21">
        <v>13.2</v>
      </c>
      <c r="I21" s="6">
        <v>6.24</v>
      </c>
      <c r="J21" s="6"/>
      <c r="K21" s="6"/>
      <c r="L21" s="1">
        <v>14</v>
      </c>
      <c r="M21" s="9" t="s">
        <v>29</v>
      </c>
      <c r="N21" s="6">
        <v>2.3825000000000003</v>
      </c>
      <c r="O21" s="7">
        <f t="shared" si="0"/>
        <v>4765.0000000000009</v>
      </c>
      <c r="P21" s="1">
        <v>19</v>
      </c>
      <c r="Q21" s="8"/>
      <c r="R21" s="8"/>
      <c r="T21" s="3"/>
    </row>
    <row r="22" spans="1:20" x14ac:dyDescent="0.35">
      <c r="A22">
        <v>20</v>
      </c>
      <c r="B22" s="9" t="s">
        <v>20</v>
      </c>
      <c r="C22" s="7">
        <v>5400</v>
      </c>
      <c r="D22" s="4">
        <v>45051</v>
      </c>
      <c r="E22" s="7">
        <v>47.5</v>
      </c>
      <c r="F22" s="7">
        <v>43.718400000000003</v>
      </c>
      <c r="G22" s="6">
        <v>8.6199999999999992</v>
      </c>
      <c r="H22" s="21">
        <v>14.1</v>
      </c>
      <c r="I22" s="6">
        <v>4.3600000000000003</v>
      </c>
      <c r="J22" s="6"/>
      <c r="K22" s="6"/>
      <c r="L22" s="1">
        <v>22</v>
      </c>
      <c r="M22" s="9" t="s">
        <v>35</v>
      </c>
      <c r="N22" s="6">
        <v>2.2833333333333332</v>
      </c>
      <c r="O22" s="7">
        <f t="shared" si="0"/>
        <v>4566.6666666666661</v>
      </c>
      <c r="P22" s="1">
        <v>20</v>
      </c>
      <c r="Q22" s="8"/>
      <c r="R22" s="8"/>
      <c r="T22" s="3"/>
    </row>
    <row r="23" spans="1:20" x14ac:dyDescent="0.35">
      <c r="A23">
        <v>21</v>
      </c>
      <c r="B23" s="9" t="s">
        <v>23</v>
      </c>
      <c r="C23" s="7">
        <v>5326.6666666666661</v>
      </c>
      <c r="D23" s="4">
        <v>45051</v>
      </c>
      <c r="E23" s="7">
        <v>52.5</v>
      </c>
      <c r="F23" s="7">
        <v>43.648000000000003</v>
      </c>
      <c r="G23" s="6">
        <v>9.6999999999999993</v>
      </c>
      <c r="H23" s="21">
        <v>10</v>
      </c>
      <c r="I23" s="6">
        <v>5.43</v>
      </c>
      <c r="J23" s="6"/>
      <c r="K23" s="6"/>
      <c r="L23" s="1">
        <v>11</v>
      </c>
      <c r="M23" s="29" t="s">
        <v>24</v>
      </c>
      <c r="N23" s="30">
        <v>2.1749999999999998</v>
      </c>
      <c r="O23" s="31">
        <f t="shared" si="0"/>
        <v>4350</v>
      </c>
      <c r="P23" s="32">
        <v>21</v>
      </c>
      <c r="Q23" s="8"/>
      <c r="R23" s="8"/>
    </row>
    <row r="24" spans="1:20" x14ac:dyDescent="0.35">
      <c r="A24">
        <v>22</v>
      </c>
      <c r="B24" s="9" t="s">
        <v>35</v>
      </c>
      <c r="C24" s="7">
        <v>4566.6666666666661</v>
      </c>
      <c r="D24" s="4">
        <v>45053</v>
      </c>
      <c r="E24" s="7">
        <v>45</v>
      </c>
      <c r="F24" s="7">
        <v>40.691200000000002</v>
      </c>
      <c r="G24" s="6">
        <v>10.45</v>
      </c>
      <c r="H24" s="21">
        <v>13.1</v>
      </c>
      <c r="I24" s="6">
        <v>3.81</v>
      </c>
      <c r="J24" s="6"/>
      <c r="K24" s="6"/>
      <c r="L24" s="1">
        <v>25</v>
      </c>
      <c r="M24" s="5" t="s">
        <v>36</v>
      </c>
      <c r="N24" s="6">
        <v>2.17</v>
      </c>
      <c r="O24" s="7">
        <f t="shared" si="0"/>
        <v>4340</v>
      </c>
      <c r="P24" s="1">
        <v>22</v>
      </c>
      <c r="Q24" s="8"/>
      <c r="R24" s="8"/>
      <c r="T24" s="3"/>
    </row>
    <row r="25" spans="1:20" x14ac:dyDescent="0.35">
      <c r="A25">
        <v>23</v>
      </c>
      <c r="B25" s="11" t="s">
        <v>28</v>
      </c>
      <c r="C25" s="7">
        <v>5040</v>
      </c>
      <c r="D25" s="4">
        <v>45052</v>
      </c>
      <c r="E25" s="7">
        <v>45.5</v>
      </c>
      <c r="F25" s="7">
        <v>37.664000000000001</v>
      </c>
      <c r="G25" s="6">
        <v>8.9600000000000009</v>
      </c>
      <c r="H25" s="21">
        <v>12.7</v>
      </c>
      <c r="I25" s="6">
        <v>3.93</v>
      </c>
      <c r="J25" s="6"/>
      <c r="K25" s="6"/>
      <c r="L25" s="1">
        <v>28</v>
      </c>
      <c r="M25" s="5" t="s">
        <v>37</v>
      </c>
      <c r="N25" s="6">
        <v>2.0033333333333334</v>
      </c>
      <c r="O25" s="7">
        <f t="shared" si="0"/>
        <v>4006.666666666667</v>
      </c>
      <c r="P25" s="1">
        <v>23</v>
      </c>
      <c r="Q25" s="8"/>
      <c r="R25" s="8"/>
      <c r="T25" s="3"/>
    </row>
    <row r="26" spans="1:20" x14ac:dyDescent="0.35">
      <c r="A26">
        <v>24</v>
      </c>
      <c r="B26" s="12" t="s">
        <v>22</v>
      </c>
      <c r="C26" s="7">
        <v>5359.9999999999991</v>
      </c>
      <c r="D26" s="4">
        <v>45055</v>
      </c>
      <c r="E26" s="7">
        <v>51</v>
      </c>
      <c r="F26" s="7">
        <v>39.423999999999999</v>
      </c>
      <c r="G26" s="6">
        <v>11.16</v>
      </c>
      <c r="H26" s="21">
        <v>15.1</v>
      </c>
      <c r="I26" s="6">
        <v>6.3</v>
      </c>
      <c r="J26" s="6"/>
      <c r="K26" s="6"/>
      <c r="L26" s="1">
        <v>9</v>
      </c>
      <c r="M26" s="29" t="s">
        <v>21</v>
      </c>
      <c r="N26" s="30">
        <v>1.9966666666666668</v>
      </c>
      <c r="O26" s="31">
        <f t="shared" si="0"/>
        <v>3993.3333333333335</v>
      </c>
      <c r="P26" s="32">
        <v>24</v>
      </c>
      <c r="Q26" s="8"/>
      <c r="R26" s="8"/>
      <c r="T26" s="3"/>
    </row>
    <row r="27" spans="1:20" x14ac:dyDescent="0.35">
      <c r="A27">
        <v>25</v>
      </c>
      <c r="B27" s="5" t="s">
        <v>36</v>
      </c>
      <c r="C27" s="7">
        <v>4340</v>
      </c>
      <c r="D27" s="13">
        <v>45055</v>
      </c>
      <c r="E27" s="7">
        <v>43.75</v>
      </c>
      <c r="F27" s="7">
        <v>38.086400000000005</v>
      </c>
      <c r="G27" s="6">
        <v>8.5399999999999991</v>
      </c>
      <c r="H27" s="21">
        <v>17.399999999999999</v>
      </c>
      <c r="I27" s="6">
        <v>5.54</v>
      </c>
      <c r="J27" s="6"/>
      <c r="K27" s="6"/>
      <c r="L27" s="1">
        <v>12</v>
      </c>
      <c r="M27" s="3" t="s">
        <v>26</v>
      </c>
      <c r="N27" s="6">
        <v>1.9874999999999998</v>
      </c>
      <c r="O27" s="7">
        <f t="shared" si="0"/>
        <v>3975</v>
      </c>
      <c r="P27" s="1">
        <v>25</v>
      </c>
      <c r="Q27" s="8"/>
      <c r="R27" s="8"/>
    </row>
    <row r="28" spans="1:20" x14ac:dyDescent="0.35">
      <c r="A28">
        <v>26</v>
      </c>
      <c r="B28" s="5" t="s">
        <v>31</v>
      </c>
      <c r="C28" s="7">
        <v>4950</v>
      </c>
      <c r="D28" s="13">
        <v>45050</v>
      </c>
      <c r="E28" s="7">
        <v>40.25</v>
      </c>
      <c r="F28" s="7">
        <v>44.844799999999999</v>
      </c>
      <c r="G28" s="6">
        <v>10.45</v>
      </c>
      <c r="H28" s="21">
        <v>14.4</v>
      </c>
      <c r="I28" s="6">
        <v>6.07</v>
      </c>
      <c r="J28" s="6"/>
      <c r="K28" s="6"/>
      <c r="L28" s="1">
        <v>13</v>
      </c>
      <c r="M28" s="3" t="s">
        <v>27</v>
      </c>
      <c r="N28" s="6">
        <v>1.92</v>
      </c>
      <c r="O28" s="7">
        <f t="shared" si="0"/>
        <v>3840</v>
      </c>
      <c r="P28" s="1">
        <v>26</v>
      </c>
      <c r="Q28" s="8"/>
      <c r="R28" s="8"/>
      <c r="T28" s="9"/>
    </row>
    <row r="29" spans="1:20" x14ac:dyDescent="0.35">
      <c r="A29">
        <v>27</v>
      </c>
      <c r="B29" s="5" t="s">
        <v>25</v>
      </c>
      <c r="C29" s="7">
        <v>5314.9999999999991</v>
      </c>
      <c r="D29" s="13">
        <v>45052</v>
      </c>
      <c r="E29" s="7">
        <v>43</v>
      </c>
      <c r="F29" s="7">
        <v>42.028800000000004</v>
      </c>
      <c r="G29" s="6">
        <v>9.58</v>
      </c>
      <c r="H29" s="21">
        <v>13</v>
      </c>
      <c r="I29" s="6">
        <v>5.83</v>
      </c>
      <c r="J29" s="6"/>
      <c r="K29" s="6"/>
      <c r="L29" s="1">
        <v>5</v>
      </c>
      <c r="M29" s="11" t="s">
        <v>15</v>
      </c>
      <c r="N29" s="6">
        <v>1.8975</v>
      </c>
      <c r="O29" s="7">
        <f t="shared" si="0"/>
        <v>3795</v>
      </c>
      <c r="P29" s="1">
        <v>27</v>
      </c>
      <c r="Q29" s="8"/>
      <c r="R29" s="8"/>
      <c r="T29" s="9"/>
    </row>
    <row r="30" spans="1:20" x14ac:dyDescent="0.35">
      <c r="A30">
        <v>28</v>
      </c>
      <c r="B30" s="5" t="s">
        <v>37</v>
      </c>
      <c r="C30" s="7">
        <v>4006.666666666667</v>
      </c>
      <c r="D30" s="13">
        <v>45051</v>
      </c>
      <c r="E30" s="7">
        <v>35.5</v>
      </c>
      <c r="F30" s="7">
        <v>43.788800000000002</v>
      </c>
      <c r="G30" s="6">
        <v>12.21</v>
      </c>
      <c r="H30" s="21">
        <v>12.2</v>
      </c>
      <c r="I30" s="6">
        <v>6.23</v>
      </c>
      <c r="J30" s="6"/>
      <c r="K30" s="6"/>
      <c r="L30" s="1">
        <v>15</v>
      </c>
      <c r="M30" s="9" t="s">
        <v>30</v>
      </c>
      <c r="N30" s="6">
        <v>1.8333333333333333</v>
      </c>
      <c r="O30" s="7">
        <f t="shared" si="0"/>
        <v>3666.6666666666665</v>
      </c>
      <c r="P30" s="1">
        <v>28</v>
      </c>
      <c r="Q30" s="8"/>
      <c r="R30" s="8"/>
      <c r="T30" s="9"/>
    </row>
    <row r="31" spans="1:20" x14ac:dyDescent="0.35">
      <c r="A31">
        <v>29</v>
      </c>
      <c r="B31" s="5" t="s">
        <v>10</v>
      </c>
      <c r="C31" s="7">
        <v>6004.9999999999991</v>
      </c>
      <c r="D31" s="13">
        <v>45040</v>
      </c>
      <c r="E31" s="7">
        <v>45.375</v>
      </c>
      <c r="F31" s="7">
        <v>38.227200000000003</v>
      </c>
      <c r="G31" s="6">
        <v>9.76</v>
      </c>
      <c r="H31" s="21">
        <v>10.5</v>
      </c>
      <c r="I31" s="6">
        <v>4.76</v>
      </c>
      <c r="J31" s="6"/>
      <c r="K31" s="6"/>
      <c r="L31" s="1">
        <v>7</v>
      </c>
      <c r="M31" s="29" t="s">
        <v>19</v>
      </c>
      <c r="N31" s="30">
        <v>1.7450000000000001</v>
      </c>
      <c r="O31" s="31">
        <f t="shared" si="0"/>
        <v>3490</v>
      </c>
      <c r="P31" s="32">
        <v>29</v>
      </c>
      <c r="Q31" s="8"/>
      <c r="R31" s="8"/>
      <c r="T31" s="9"/>
    </row>
    <row r="32" spans="1:20" x14ac:dyDescent="0.35">
      <c r="A32" s="8"/>
      <c r="B32" s="5"/>
      <c r="C32" s="7"/>
      <c r="D32" s="1"/>
      <c r="E32" s="7"/>
      <c r="F32" s="7"/>
      <c r="G32" s="7"/>
      <c r="H32" s="21"/>
      <c r="I32" s="6"/>
      <c r="J32" s="6"/>
      <c r="K32" s="6"/>
      <c r="L32" s="1"/>
      <c r="N32" s="1"/>
      <c r="O32" s="1"/>
      <c r="Q32" s="8"/>
      <c r="R32" s="8"/>
    </row>
    <row r="33" spans="4:20" x14ac:dyDescent="0.35">
      <c r="D33" s="1"/>
      <c r="L33" s="1"/>
      <c r="N33" s="1"/>
      <c r="O33" s="1"/>
      <c r="Q33" s="8"/>
      <c r="R33" s="8"/>
      <c r="T33" s="9"/>
    </row>
  </sheetData>
  <mergeCells count="1">
    <mergeCell ref="L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Alicia del Blanco</dc:creator>
  <cp:lastModifiedBy>Isabel Alicia del Blanco</cp:lastModifiedBy>
  <dcterms:created xsi:type="dcterms:W3CDTF">2023-07-20T18:48:17Z</dcterms:created>
  <dcterms:modified xsi:type="dcterms:W3CDTF">2023-08-11T20:42:20Z</dcterms:modified>
</cp:coreProperties>
</file>